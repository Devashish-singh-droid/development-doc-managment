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tabRatio="744" firstSheet="1" activeTab="4"/>
  </bookViews>
  <sheets>
    <sheet name="Document Control" sheetId="50" r:id="rId1"/>
    <sheet name="Checklist" sheetId="47" r:id="rId2"/>
    <sheet name="Tender Checklist " sheetId="46" r:id="rId3"/>
    <sheet name="Bid Process Stages" sheetId="49" r:id="rId4"/>
    <sheet name="Asset Details " sheetId="45" r:id="rId5"/>
    <sheet name="Imprest  Standby Stock " sheetId="36" r:id="rId6"/>
    <sheet name="Costing" sheetId="29" r:id="rId7"/>
    <sheet name="Resource Cost " sheetId="40" r:id="rId8"/>
    <sheet name="Sign Off" sheetId="4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<sst xmlns="http://schemas.openxmlformats.org/spreadsheetml/2006/main" count="280" uniqueCount="250">
  <si>
    <t>DOCUMENT CONTROL SECTION</t>
  </si>
  <si>
    <t xml:space="preserve">All rights are strictly reserved. No part of this document may be reproduced in any form or by any means without prior written permission. </t>
  </si>
  <si>
    <t>Document History</t>
  </si>
  <si>
    <t>Author</t>
  </si>
  <si>
    <t>Version Number</t>
  </si>
  <si>
    <t>Modified Date</t>
  </si>
  <si>
    <t>Status</t>
  </si>
  <si>
    <t>Description of Change</t>
  </si>
  <si>
    <t>Sukhwinder Singh Jandu</t>
  </si>
  <si>
    <t>V1.0</t>
  </si>
  <si>
    <t>29th May'2025</t>
  </si>
  <si>
    <t>Completed</t>
  </si>
  <si>
    <t>New Document</t>
  </si>
  <si>
    <t>Rajeev Sachan</t>
  </si>
  <si>
    <t>Bhawana Nayyar</t>
  </si>
  <si>
    <t>Document Reviewer Name:</t>
  </si>
  <si>
    <t>Reviewed Date:</t>
  </si>
  <si>
    <t>30th May'2025</t>
  </si>
  <si>
    <t>Document Approver Name:</t>
  </si>
  <si>
    <t>Rajesh Kumar Singh</t>
  </si>
  <si>
    <t>Approved Date:</t>
  </si>
  <si>
    <t>Effective Date:</t>
  </si>
  <si>
    <t>S. No.</t>
  </si>
  <si>
    <t>Heading</t>
  </si>
  <si>
    <t>Sub. Heading</t>
  </si>
  <si>
    <t>Remarks</t>
  </si>
  <si>
    <t>Equipment Inventory and Type</t>
  </si>
  <si>
    <r>
      <rPr>
        <b/>
        <sz val="10"/>
        <color theme="1"/>
        <rFont val="Calibri"/>
        <charset val="134"/>
        <scheme val="minor"/>
      </rPr>
      <t>Quantity</t>
    </r>
    <r>
      <rPr>
        <sz val="10"/>
        <color theme="1"/>
        <rFont val="Calibri"/>
        <charset val="134"/>
        <scheme val="minor"/>
      </rPr>
      <t xml:space="preserve"> and </t>
    </r>
    <r>
      <rPr>
        <b/>
        <sz val="10"/>
        <color theme="1"/>
        <rFont val="Calibri"/>
        <charset val="134"/>
        <scheme val="minor"/>
      </rPr>
      <t>type</t>
    </r>
    <r>
      <rPr>
        <sz val="10"/>
        <color theme="1"/>
        <rFont val="Calibri"/>
        <charset val="134"/>
        <scheme val="minor"/>
      </rPr>
      <t xml:space="preserve"> of devices (e.g., desktops, laptops, servers, printers, routers, switches).</t>
    </r>
  </si>
  <si>
    <r>
      <rPr>
        <b/>
        <sz val="10"/>
        <color theme="1"/>
        <rFont val="Calibri"/>
        <charset val="134"/>
        <scheme val="minor"/>
      </rPr>
      <t>Brand/model</t>
    </r>
    <r>
      <rPr>
        <sz val="10"/>
        <color theme="1"/>
        <rFont val="Calibri"/>
        <charset val="134"/>
        <scheme val="minor"/>
      </rPr>
      <t xml:space="preserve"> and </t>
    </r>
    <r>
      <rPr>
        <b/>
        <sz val="10"/>
        <color theme="1"/>
        <rFont val="Calibri"/>
        <charset val="134"/>
        <scheme val="minor"/>
      </rPr>
      <t>age</t>
    </r>
    <r>
      <rPr>
        <sz val="10"/>
        <color theme="1"/>
        <rFont val="Calibri"/>
        <charset val="134"/>
        <scheme val="minor"/>
      </rPr>
      <t xml:space="preserve"> of each item (older equipment may require more maintenance).</t>
    </r>
  </si>
  <si>
    <r>
      <rPr>
        <b/>
        <sz val="10"/>
        <color theme="1"/>
        <rFont val="Calibri"/>
        <charset val="134"/>
        <scheme val="minor"/>
      </rPr>
      <t>Criticality</t>
    </r>
    <r>
      <rPr>
        <sz val="10"/>
        <color theme="1"/>
        <rFont val="Calibri"/>
        <charset val="134"/>
        <scheme val="minor"/>
      </rPr>
      <t xml:space="preserve"> of the equipment to business operations.</t>
    </r>
  </si>
  <si>
    <t>Scope of Services</t>
  </si>
  <si>
    <r>
      <rPr>
        <b/>
        <sz val="10"/>
        <color theme="1"/>
        <rFont val="Calibri"/>
        <charset val="134"/>
        <scheme val="minor"/>
      </rPr>
      <t>Preventive maintenance</t>
    </r>
    <r>
      <rPr>
        <sz val="10"/>
        <color theme="1"/>
        <rFont val="Calibri"/>
        <charset val="134"/>
        <scheme val="minor"/>
      </rPr>
      <t xml:space="preserve"> (e.g., monthly, quarterly checks).</t>
    </r>
  </si>
  <si>
    <r>
      <rPr>
        <b/>
        <sz val="10"/>
        <color theme="1"/>
        <rFont val="Calibri"/>
        <charset val="134"/>
        <scheme val="minor"/>
      </rPr>
      <t>Corrective maintenance</t>
    </r>
    <r>
      <rPr>
        <sz val="10"/>
        <color theme="1"/>
        <rFont val="Calibri"/>
        <charset val="134"/>
        <scheme val="minor"/>
      </rPr>
      <t xml:space="preserve"> (response to issues).</t>
    </r>
  </si>
  <si>
    <r>
      <rPr>
        <b/>
        <sz val="10"/>
        <color theme="1"/>
        <rFont val="Calibri"/>
        <charset val="134"/>
        <scheme val="minor"/>
      </rPr>
      <t>Replacement of parts</t>
    </r>
    <r>
      <rPr>
        <sz val="10"/>
        <color theme="1"/>
        <rFont val="Calibri"/>
        <charset val="134"/>
        <scheme val="minor"/>
      </rPr>
      <t xml:space="preserve"> (included or billed separately).</t>
    </r>
  </si>
  <si>
    <r>
      <rPr>
        <b/>
        <sz val="10"/>
        <color theme="1"/>
        <rFont val="Calibri"/>
        <charset val="134"/>
        <scheme val="minor"/>
      </rPr>
      <t>Software support</t>
    </r>
    <r>
      <rPr>
        <sz val="10"/>
        <color theme="1"/>
        <rFont val="Calibri"/>
        <charset val="134"/>
        <scheme val="minor"/>
      </rPr>
      <t xml:space="preserve"> (e.g., OS, drivers, antivirus).</t>
    </r>
  </si>
  <si>
    <r>
      <rPr>
        <b/>
        <sz val="10"/>
        <color theme="1"/>
        <rFont val="Calibri"/>
        <charset val="134"/>
        <scheme val="minor"/>
      </rPr>
      <t>Network support</t>
    </r>
    <r>
      <rPr>
        <sz val="10"/>
        <color theme="1"/>
        <rFont val="Calibri"/>
        <charset val="134"/>
        <scheme val="minor"/>
      </rPr>
      <t xml:space="preserve"> (if part of the contract).</t>
    </r>
  </si>
  <si>
    <r>
      <rPr>
        <b/>
        <sz val="10"/>
        <color theme="1"/>
        <rFont val="Calibri"/>
        <charset val="134"/>
        <scheme val="minor"/>
      </rPr>
      <t>Remote vs. onsite support</t>
    </r>
    <r>
      <rPr>
        <sz val="10"/>
        <color theme="1"/>
        <rFont val="Calibri"/>
        <charset val="134"/>
        <scheme val="minor"/>
      </rPr>
      <t>.</t>
    </r>
  </si>
  <si>
    <t>Service Level Agreements (SLAs)</t>
  </si>
  <si>
    <r>
      <rPr>
        <b/>
        <sz val="10"/>
        <color theme="1"/>
        <rFont val="Calibri"/>
        <charset val="134"/>
        <scheme val="minor"/>
      </rPr>
      <t>Response time</t>
    </r>
    <r>
      <rPr>
        <sz val="10"/>
        <color theme="1"/>
        <rFont val="Calibri"/>
        <charset val="134"/>
        <scheme val="minor"/>
      </rPr>
      <t xml:space="preserve"> (e.g., 4 hours, same-day).</t>
    </r>
  </si>
  <si>
    <r>
      <rPr>
        <b/>
        <sz val="10"/>
        <color theme="1"/>
        <rFont val="Calibri"/>
        <charset val="134"/>
        <scheme val="minor"/>
      </rPr>
      <t>Resolution time</t>
    </r>
    <r>
      <rPr>
        <sz val="10"/>
        <color theme="1"/>
        <rFont val="Calibri"/>
        <charset val="134"/>
        <scheme val="minor"/>
      </rPr>
      <t xml:space="preserve"> expectations.</t>
    </r>
  </si>
  <si>
    <r>
      <rPr>
        <b/>
        <sz val="10"/>
        <color theme="1"/>
        <rFont val="Calibri"/>
        <charset val="134"/>
        <scheme val="minor"/>
      </rPr>
      <t>Support hours</t>
    </r>
    <r>
      <rPr>
        <sz val="10"/>
        <color theme="1"/>
        <rFont val="Calibri"/>
        <charset val="134"/>
        <scheme val="minor"/>
      </rPr>
      <t xml:space="preserve"> (business hours vs. 24/7).</t>
    </r>
  </si>
  <si>
    <r>
      <rPr>
        <b/>
        <sz val="10"/>
        <color theme="1"/>
        <rFont val="Calibri"/>
        <charset val="134"/>
        <scheme val="minor"/>
      </rPr>
      <t>Availability of standby units</t>
    </r>
    <r>
      <rPr>
        <sz val="10"/>
        <color theme="1"/>
        <rFont val="Calibri"/>
        <charset val="134"/>
        <scheme val="minor"/>
      </rPr>
      <t xml:space="preserve"> if equipment downtime is critical.</t>
    </r>
  </si>
  <si>
    <t>Manpower Requirements</t>
  </si>
  <si>
    <r>
      <rPr>
        <sz val="10"/>
        <color theme="1"/>
        <rFont val="Calibri"/>
        <charset val="134"/>
        <scheme val="minor"/>
      </rPr>
      <t xml:space="preserve">Number of </t>
    </r>
    <r>
      <rPr>
        <b/>
        <sz val="10"/>
        <color theme="1"/>
        <rFont val="Calibri"/>
        <charset val="134"/>
        <scheme val="minor"/>
      </rPr>
      <t>engineers</t>
    </r>
    <r>
      <rPr>
        <sz val="10"/>
        <color theme="1"/>
        <rFont val="Calibri"/>
        <charset val="134"/>
        <scheme val="minor"/>
      </rPr>
      <t xml:space="preserve"> required.</t>
    </r>
  </si>
  <si>
    <r>
      <rPr>
        <b/>
        <sz val="10"/>
        <color theme="1"/>
        <rFont val="Calibri"/>
        <charset val="134"/>
        <scheme val="minor"/>
      </rPr>
      <t>Skill level</t>
    </r>
    <r>
      <rPr>
        <sz val="10"/>
        <color theme="1"/>
        <rFont val="Calibri"/>
        <charset val="134"/>
        <scheme val="minor"/>
      </rPr>
      <t xml:space="preserve"> (basic desktop support vs. specialized server/network engineers).</t>
    </r>
  </si>
  <si>
    <r>
      <rPr>
        <b/>
        <sz val="10"/>
        <color theme="1"/>
        <rFont val="Calibri"/>
        <charset val="134"/>
        <scheme val="minor"/>
      </rPr>
      <t>Location of support staff</t>
    </r>
    <r>
      <rPr>
        <sz val="10"/>
        <color theme="1"/>
        <rFont val="Calibri"/>
        <charset val="134"/>
        <scheme val="minor"/>
      </rPr>
      <t xml:space="preserve"> (onsite, remote, visiting support).</t>
    </r>
  </si>
  <si>
    <t>Geographic Coverage</t>
  </si>
  <si>
    <r>
      <rPr>
        <sz val="10"/>
        <color theme="1"/>
        <rFont val="Calibri"/>
        <charset val="134"/>
        <scheme val="minor"/>
      </rPr>
      <t xml:space="preserve">Single or </t>
    </r>
    <r>
      <rPr>
        <b/>
        <sz val="10"/>
        <color theme="1"/>
        <rFont val="Calibri"/>
        <charset val="134"/>
        <scheme val="minor"/>
      </rPr>
      <t>multiple locations</t>
    </r>
    <r>
      <rPr>
        <sz val="10"/>
        <color theme="1"/>
        <rFont val="Calibri"/>
        <charset val="134"/>
        <scheme val="minor"/>
      </rPr>
      <t>.</t>
    </r>
  </si>
  <si>
    <r>
      <rPr>
        <b/>
        <sz val="10"/>
        <color theme="1"/>
        <rFont val="Calibri"/>
        <charset val="134"/>
        <scheme val="minor"/>
      </rPr>
      <t>Travel time and costs</t>
    </r>
    <r>
      <rPr>
        <sz val="10"/>
        <color theme="1"/>
        <rFont val="Calibri"/>
        <charset val="134"/>
        <scheme val="minor"/>
      </rPr>
      <t xml:space="preserve"> to different sites.</t>
    </r>
  </si>
  <si>
    <t>Existing Condition of Equipment</t>
  </si>
  <si>
    <t>Condition assessment before signing AMC.</t>
  </si>
  <si>
    <r>
      <rPr>
        <b/>
        <sz val="10"/>
        <color theme="1"/>
        <rFont val="Calibri"/>
        <charset val="134"/>
        <scheme val="minor"/>
      </rPr>
      <t>Exclusion of faulty/obsolete equipment</t>
    </r>
    <r>
      <rPr>
        <sz val="10"/>
        <color theme="1"/>
        <rFont val="Calibri"/>
        <charset val="134"/>
        <scheme val="minor"/>
      </rPr>
      <t xml:space="preserve"> unless repaired before contract.</t>
    </r>
  </si>
  <si>
    <t>Spare Parts and Consumables</t>
  </si>
  <si>
    <r>
      <rPr>
        <sz val="10"/>
        <color theme="1"/>
        <rFont val="Calibri"/>
        <charset val="134"/>
        <scheme val="minor"/>
      </rPr>
      <t xml:space="preserve">Whether </t>
    </r>
    <r>
      <rPr>
        <b/>
        <sz val="10"/>
        <color theme="1"/>
        <rFont val="Calibri"/>
        <charset val="134"/>
        <scheme val="minor"/>
      </rPr>
      <t>spare parts</t>
    </r>
    <r>
      <rPr>
        <sz val="10"/>
        <color theme="1"/>
        <rFont val="Calibri"/>
        <charset val="134"/>
        <scheme val="minor"/>
      </rPr>
      <t xml:space="preserve"> are included or charged separately.</t>
    </r>
  </si>
  <si>
    <r>
      <rPr>
        <b/>
        <sz val="10"/>
        <color theme="1"/>
        <rFont val="Calibri"/>
        <charset val="134"/>
        <scheme val="minor"/>
      </rPr>
      <t>Consumables</t>
    </r>
    <r>
      <rPr>
        <sz val="10"/>
        <color theme="1"/>
        <rFont val="Calibri"/>
        <charset val="134"/>
        <scheme val="minor"/>
      </rPr>
      <t xml:space="preserve"> like toner, batteries, cables—often excluded or listed separately.</t>
    </r>
  </si>
  <si>
    <t>Contract Duration and Terms</t>
  </si>
  <si>
    <t>Standard period (usually 1 year) vs. multi-year discounts.</t>
  </si>
  <si>
    <r>
      <rPr>
        <b/>
        <sz val="10"/>
        <color theme="1"/>
        <rFont val="Calibri"/>
        <charset val="134"/>
        <scheme val="minor"/>
      </rPr>
      <t>Renewal and termination clauses</t>
    </r>
    <r>
      <rPr>
        <sz val="10"/>
        <color theme="1"/>
        <rFont val="Calibri"/>
        <charset val="134"/>
        <scheme val="minor"/>
      </rPr>
      <t>.</t>
    </r>
  </si>
  <si>
    <r>
      <rPr>
        <b/>
        <sz val="10"/>
        <color theme="1"/>
        <rFont val="Calibri"/>
        <charset val="134"/>
        <scheme val="minor"/>
      </rPr>
      <t>Penalty clauses</t>
    </r>
    <r>
      <rPr>
        <sz val="10"/>
        <color theme="1"/>
        <rFont val="Calibri"/>
        <charset val="134"/>
        <scheme val="minor"/>
      </rPr>
      <t xml:space="preserve"> for SLA breaches (if applicable).</t>
    </r>
  </si>
  <si>
    <t>Cost Estimation and Profit Margin</t>
  </si>
  <si>
    <r>
      <rPr>
        <sz val="10"/>
        <color theme="1"/>
        <rFont val="Calibri"/>
        <charset val="134"/>
        <scheme val="minor"/>
      </rPr>
      <t xml:space="preserve">Estimate </t>
    </r>
    <r>
      <rPr>
        <b/>
        <sz val="10"/>
        <color theme="1"/>
        <rFont val="Calibri"/>
        <charset val="134"/>
        <scheme val="minor"/>
      </rPr>
      <t>direct costs</t>
    </r>
    <r>
      <rPr>
        <sz val="10"/>
        <color theme="1"/>
        <rFont val="Calibri"/>
        <charset val="134"/>
        <scheme val="minor"/>
      </rPr>
      <t xml:space="preserve"> (labor, parts).</t>
    </r>
  </si>
  <si>
    <r>
      <rPr>
        <sz val="10"/>
        <color theme="1"/>
        <rFont val="Calibri"/>
        <charset val="134"/>
        <scheme val="minor"/>
      </rPr>
      <t xml:space="preserve">Add </t>
    </r>
    <r>
      <rPr>
        <b/>
        <sz val="10"/>
        <color theme="1"/>
        <rFont val="Calibri"/>
        <charset val="134"/>
        <scheme val="minor"/>
      </rPr>
      <t>indirect costs</t>
    </r>
    <r>
      <rPr>
        <sz val="10"/>
        <color theme="1"/>
        <rFont val="Calibri"/>
        <charset val="134"/>
        <scheme val="minor"/>
      </rPr>
      <t xml:space="preserve"> (logistics, admin).</t>
    </r>
  </si>
  <si>
    <r>
      <rPr>
        <sz val="10"/>
        <color theme="1"/>
        <rFont val="Calibri"/>
        <charset val="134"/>
        <scheme val="minor"/>
      </rPr>
      <t xml:space="preserve">Include </t>
    </r>
    <r>
      <rPr>
        <b/>
        <sz val="10"/>
        <color theme="1"/>
        <rFont val="Calibri"/>
        <charset val="134"/>
        <scheme val="minor"/>
      </rPr>
      <t>profit margin</t>
    </r>
    <r>
      <rPr>
        <sz val="10"/>
        <color theme="1"/>
        <rFont val="Calibri"/>
        <charset val="134"/>
        <scheme val="minor"/>
      </rPr>
      <t xml:space="preserve"> and potential </t>
    </r>
    <r>
      <rPr>
        <b/>
        <sz val="10"/>
        <color theme="1"/>
        <rFont val="Calibri"/>
        <charset val="134"/>
        <scheme val="minor"/>
      </rPr>
      <t>contingency</t>
    </r>
    <r>
      <rPr>
        <sz val="10"/>
        <color theme="1"/>
        <rFont val="Calibri"/>
        <charset val="134"/>
        <scheme val="minor"/>
      </rPr>
      <t>.</t>
    </r>
  </si>
  <si>
    <t>Competitor Pricing and Market Standards</t>
  </si>
  <si>
    <r>
      <rPr>
        <sz val="10"/>
        <color theme="1"/>
        <rFont val="Calibri"/>
        <charset val="134"/>
        <scheme val="minor"/>
      </rPr>
      <t xml:space="preserve">Benchmark against </t>
    </r>
    <r>
      <rPr>
        <b/>
        <sz val="10"/>
        <color theme="1"/>
        <rFont val="Calibri"/>
        <charset val="134"/>
        <scheme val="minor"/>
      </rPr>
      <t>industry rates</t>
    </r>
    <r>
      <rPr>
        <sz val="10"/>
        <color theme="1"/>
        <rFont val="Calibri"/>
        <charset val="134"/>
        <scheme val="minor"/>
      </rPr>
      <t xml:space="preserve"> and </t>
    </r>
    <r>
      <rPr>
        <b/>
        <sz val="10"/>
        <color theme="1"/>
        <rFont val="Calibri"/>
        <charset val="134"/>
        <scheme val="minor"/>
      </rPr>
      <t>local competitors</t>
    </r>
    <r>
      <rPr>
        <sz val="10"/>
        <color theme="1"/>
        <rFont val="Calibri"/>
        <charset val="134"/>
        <scheme val="minor"/>
      </rPr>
      <t>.</t>
    </r>
  </si>
  <si>
    <r>
      <rPr>
        <sz val="10"/>
        <color theme="1"/>
        <rFont val="Calibri"/>
        <charset val="134"/>
        <scheme val="minor"/>
      </rPr>
      <t xml:space="preserve">Adjust based on </t>
    </r>
    <r>
      <rPr>
        <b/>
        <sz val="10"/>
        <color theme="1"/>
        <rFont val="Calibri"/>
        <charset val="134"/>
        <scheme val="minor"/>
      </rPr>
      <t>value-added services</t>
    </r>
    <r>
      <rPr>
        <sz val="10"/>
        <color theme="1"/>
        <rFont val="Calibri"/>
        <charset val="134"/>
        <scheme val="minor"/>
      </rPr>
      <t xml:space="preserve"> or brand reputation.</t>
    </r>
  </si>
  <si>
    <t>Legal and Compliance</t>
  </si>
  <si>
    <t>Insurance and liability clauses.</t>
  </si>
  <si>
    <t>Data protection (especially if dealing with client data during repairs).</t>
  </si>
  <si>
    <r>
      <rPr>
        <sz val="10"/>
        <color theme="1"/>
        <rFont val="Calibri"/>
        <charset val="134"/>
        <scheme val="minor"/>
      </rPr>
      <t xml:space="preserve">Compliance with any </t>
    </r>
    <r>
      <rPr>
        <b/>
        <sz val="10"/>
        <color theme="1"/>
        <rFont val="Calibri"/>
        <charset val="134"/>
        <scheme val="minor"/>
      </rPr>
      <t>vendor warranties</t>
    </r>
    <r>
      <rPr>
        <sz val="10"/>
        <color theme="1"/>
        <rFont val="Calibri"/>
        <charset val="134"/>
        <scheme val="minor"/>
      </rPr>
      <t xml:space="preserve"> or OEM requirements.</t>
    </r>
  </si>
  <si>
    <t>Customizations Possible</t>
  </si>
  <si>
    <t>Location</t>
  </si>
  <si>
    <t>Volume discounts</t>
  </si>
  <si>
    <t>Longer-term contracts (e.g., 2-3 years)</t>
  </si>
  <si>
    <t>Client’s industry or urgency needs</t>
  </si>
  <si>
    <t xml:space="preserve">Tender Details </t>
  </si>
  <si>
    <t xml:space="preserve">BID No &amp; Date </t>
  </si>
  <si>
    <t>Customer Name</t>
  </si>
  <si>
    <t>City/State</t>
  </si>
  <si>
    <t xml:space="preserve">Single / Multilocation Support </t>
  </si>
  <si>
    <t xml:space="preserve">BID Due date </t>
  </si>
  <si>
    <t>Estimated Tender Cost</t>
  </si>
  <si>
    <t xml:space="preserve">Contract period </t>
  </si>
  <si>
    <t xml:space="preserve">BID Type - Enterprise/ EUC /FMS </t>
  </si>
  <si>
    <t>Tender FEE- MSME Exemption (Yes/No)</t>
  </si>
  <si>
    <t>EMD Required (MSME Exemption (Yes/No)</t>
  </si>
  <si>
    <t>PGB Required - %</t>
  </si>
  <si>
    <t xml:space="preserve">Proactive / Reactive BID </t>
  </si>
  <si>
    <t>Tender Submission (Online / Offline )</t>
  </si>
  <si>
    <t>RA Enabled (Yes /No)</t>
  </si>
  <si>
    <t>Any OEM Authorisation MAF Required (Yes / No)</t>
  </si>
  <si>
    <t xml:space="preserve">Any Specific T&amp;C </t>
  </si>
  <si>
    <t>PM Schedule (Monthly /Qtrly /Half yearly / Yearly /NA)</t>
  </si>
  <si>
    <t>No of technicians required</t>
  </si>
  <si>
    <t xml:space="preserve">Need to Follow Min Wages Criteria (State / Central) </t>
  </si>
  <si>
    <t>Penalty capping</t>
  </si>
  <si>
    <t xml:space="preserve">Payment Terms </t>
  </si>
  <si>
    <t xml:space="preserve">Existing Vendor </t>
  </si>
  <si>
    <t>Appox Contract Running Cost with Existing vendor (if Available)</t>
  </si>
  <si>
    <t xml:space="preserve">InHouse / B2B with Partner </t>
  </si>
  <si>
    <t>Bid Process Stages</t>
  </si>
  <si>
    <t>Stage</t>
  </si>
  <si>
    <t>Department(s) Involved</t>
  </si>
  <si>
    <t>Responsibilities</t>
  </si>
  <si>
    <t>Approval Required From</t>
  </si>
  <si>
    <t>Opportunity Identification</t>
  </si>
  <si>
    <t>Sales / Business Development</t>
  </si>
  <si>
    <t>Identify potential bids, assess strategic fit</t>
  </si>
  <si>
    <t>Sales Leadership</t>
  </si>
  <si>
    <t>Bid/No-Bid Decision</t>
  </si>
  <si>
    <t>Sales, Delivery, Finance, Legal, Exec</t>
  </si>
  <si>
    <t>Evaluate feasibility, risks, ROI, alignment</t>
  </si>
  <si>
    <t>Cross-functional Review Panel / Executives</t>
  </si>
  <si>
    <t>Bid Planning / Kickoff</t>
  </si>
  <si>
    <t>Sales, Bid Management</t>
  </si>
  <si>
    <t>Form response team, set timelines, define strategy</t>
  </si>
  <si>
    <t>Sales Lead</t>
  </si>
  <si>
    <t>Technical Solution Design</t>
  </si>
  <si>
    <t>Pre-Sales, Delivery, Solution Architects</t>
  </si>
  <si>
    <t>Design technical approach, estimate timelines and resources</t>
  </si>
  <si>
    <t>Delivery Head / CTO</t>
  </si>
  <si>
    <t>Pricing and Commercials</t>
  </si>
  <si>
    <t>Finance, Sales, Commercial Team</t>
  </si>
  <si>
    <t>Define cost, margins, pricing model (T&amp;M, Fixed, etc.)</t>
  </si>
  <si>
    <t>Finance Director / Pricing Committee</t>
  </si>
  <si>
    <t>Legal &amp; Compliance Review</t>
  </si>
  <si>
    <t>Legal, Compliance, Risk Management</t>
  </si>
  <si>
    <t>Review contract terms, compliance, liabilities</t>
  </si>
  <si>
    <t>Legal Counsel / Compliance Officer</t>
  </si>
  <si>
    <t>Proposal Writing</t>
  </si>
  <si>
    <t>Bid Management, Sales, Marketing</t>
  </si>
  <si>
    <t>Write and format response, ensure alignment with requirements</t>
  </si>
  <si>
    <t>Proposal Manager / Sales Lead</t>
  </si>
  <si>
    <t>Final Internal Review</t>
  </si>
  <si>
    <t>Executive Leadership, All Key Depts</t>
  </si>
  <si>
    <t>Cross-check for accuracy, competitiveness, compliance</t>
  </si>
  <si>
    <t>CXO/VP Level (CEO/COO depending on value)</t>
  </si>
  <si>
    <t>Submission</t>
  </si>
  <si>
    <t>Sales, Proposal Team</t>
  </si>
  <si>
    <t>Submit proposal before deadline via proper channel</t>
  </si>
  <si>
    <t>Bid Manager / Sales Director</t>
  </si>
  <si>
    <t>Post-Submission Follow-up</t>
  </si>
  <si>
    <t>Sales, Account Management</t>
  </si>
  <si>
    <t>Address clarifications, conduct presentations, BAFO rounds</t>
  </si>
  <si>
    <t>Account Manager / Sales Leadership</t>
  </si>
  <si>
    <t>List of computers and peripheral devices</t>
  </si>
  <si>
    <t>S.No.</t>
  </si>
  <si>
    <t>Type of Asset</t>
  </si>
  <si>
    <t>Make/Brand of Assets</t>
  </si>
  <si>
    <t>Details</t>
  </si>
  <si>
    <t>Qty</t>
  </si>
  <si>
    <t xml:space="preserve">Standby Stock </t>
  </si>
  <si>
    <t>Descriptions</t>
  </si>
  <si>
    <t>Make</t>
  </si>
  <si>
    <t>Unit Rate</t>
  </si>
  <si>
    <t>Amount</t>
  </si>
  <si>
    <t>Desktop</t>
  </si>
  <si>
    <t>ANY</t>
  </si>
  <si>
    <t>Printer</t>
  </si>
  <si>
    <t>UPS</t>
  </si>
  <si>
    <t>Total</t>
  </si>
  <si>
    <t xml:space="preserve">Imprest Stock / Consumption </t>
  </si>
  <si>
    <t xml:space="preserve">Total </t>
  </si>
  <si>
    <t>Account</t>
  </si>
  <si>
    <t>AMC - FMS Sales Value</t>
  </si>
  <si>
    <t>1st Year</t>
  </si>
  <si>
    <t>Product Details</t>
  </si>
  <si>
    <t>Unit rate</t>
  </si>
  <si>
    <t>Total value (Without Tax )</t>
  </si>
  <si>
    <t>GST-18%</t>
  </si>
  <si>
    <t>Total Bid Value</t>
  </si>
  <si>
    <t>5% of Epbg</t>
  </si>
  <si>
    <t>5% Interest</t>
  </si>
  <si>
    <t>AMC Order Value</t>
  </si>
  <si>
    <t>Asset details</t>
  </si>
  <si>
    <t>Total order value</t>
  </si>
  <si>
    <t>Cost of Parts</t>
  </si>
  <si>
    <t>Spare Parts Cost</t>
  </si>
  <si>
    <t>Freight</t>
  </si>
  <si>
    <t>Third Party</t>
  </si>
  <si>
    <t>Tools</t>
  </si>
  <si>
    <t>Back to back support cost, if any</t>
  </si>
  <si>
    <t>Software Licence cost, if any</t>
  </si>
  <si>
    <t>Total Cost of Parts</t>
  </si>
  <si>
    <t>Manpower committed as part of AMC</t>
  </si>
  <si>
    <t>CTC/Annum</t>
  </si>
  <si>
    <t>No. of years</t>
  </si>
  <si>
    <t>Total cost</t>
  </si>
  <si>
    <t>Resident Engineers - L1 (As per FMS Workingsheet)</t>
  </si>
  <si>
    <t>Backup</t>
  </si>
  <si>
    <t>Team Lead / Server Engineer</t>
  </si>
  <si>
    <t>Project Manager</t>
  </si>
  <si>
    <t>HelpDesk coordinator</t>
  </si>
  <si>
    <t>Other Manpower cost</t>
  </si>
  <si>
    <t>Direct Labour: Manpower (nos)</t>
  </si>
  <si>
    <t>Field Support Cost</t>
  </si>
  <si>
    <t>Asset Varification</t>
  </si>
  <si>
    <t>Preventive Maintenance</t>
  </si>
  <si>
    <t>Total Manpower cost</t>
  </si>
  <si>
    <t>Overheads</t>
  </si>
  <si>
    <t>Mobile</t>
  </si>
  <si>
    <t>Tender Cost</t>
  </si>
  <si>
    <r>
      <rPr>
        <sz val="10"/>
        <color rgb="FF000000"/>
        <rFont val="Calibri"/>
        <charset val="134"/>
        <scheme val="minor"/>
      </rPr>
      <t>Accomodation/</t>
    </r>
    <r>
      <rPr>
        <sz val="10"/>
        <color rgb="FF00B0F0"/>
        <rFont val="Calibri"/>
        <charset val="134"/>
        <scheme val="minor"/>
      </rPr>
      <t>Travel Cost</t>
    </r>
  </si>
  <si>
    <t>ePBG</t>
  </si>
  <si>
    <t xml:space="preserve">Conveyance </t>
  </si>
  <si>
    <t>Antivirus required for 01 year</t>
  </si>
  <si>
    <t>Management Cost</t>
  </si>
  <si>
    <t>Back office Cost</t>
  </si>
  <si>
    <t>Re-leaver Engr. Cost Travel/Stay</t>
  </si>
  <si>
    <t>Project Manager Travel/Stay</t>
  </si>
  <si>
    <t>Interest of 4 months investment</t>
  </si>
  <si>
    <t>Employee varification cost</t>
  </si>
  <si>
    <t>Gem Charges</t>
  </si>
  <si>
    <t>Interest of ePBG &amp; Penalty</t>
  </si>
  <si>
    <t>Insurance (Assets)</t>
  </si>
  <si>
    <t>Penalty</t>
  </si>
  <si>
    <t>Total Other Costs</t>
  </si>
  <si>
    <t>Stanby Units</t>
  </si>
  <si>
    <t xml:space="preserve">Standby unit </t>
  </si>
  <si>
    <t>Standby unit 2 - Laptop</t>
  </si>
  <si>
    <t>Standby unit 3 - Printer</t>
  </si>
  <si>
    <t>Total Standby unit cost</t>
  </si>
  <si>
    <t>Imprest stock</t>
  </si>
  <si>
    <t>Shared Stock Provision</t>
  </si>
  <si>
    <t>hdd</t>
  </si>
  <si>
    <t>mouse</t>
  </si>
  <si>
    <t>kbd</t>
  </si>
  <si>
    <t>teflon</t>
  </si>
  <si>
    <t>BATTERY, RIBBON ETC</t>
  </si>
  <si>
    <t>Adaptor</t>
  </si>
  <si>
    <t>Cable</t>
  </si>
  <si>
    <t>Total Imprest Stock Cost</t>
  </si>
  <si>
    <t>Other Expenses (Contigency)</t>
  </si>
  <si>
    <t>Total Cost</t>
  </si>
  <si>
    <t>Margin from sales</t>
  </si>
  <si>
    <t>Margin Percentage on Sale Value</t>
  </si>
  <si>
    <t xml:space="preserve">Sr. No </t>
  </si>
  <si>
    <t xml:space="preserve">Profile </t>
  </si>
  <si>
    <t>Qualification</t>
  </si>
  <si>
    <t>Per month</t>
  </si>
  <si>
    <t>For 12 Month</t>
  </si>
  <si>
    <t>Name</t>
  </si>
  <si>
    <t>Designation</t>
  </si>
  <si>
    <t>Date</t>
  </si>
  <si>
    <t>Evidence</t>
  </si>
  <si>
    <t>Business Development Manager</t>
  </si>
  <si>
    <t>Director Sales</t>
  </si>
  <si>
    <t>Delivery Head</t>
  </si>
  <si>
    <t>VP/CEO</t>
  </si>
  <si>
    <t>CMD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</si>
</sst>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_ * #,##0_ ;_ * \-#,##0_ ;_ * &quot;-&quot;??_ ;_ @_ "/>
    <numFmt numFmtId="182" formatCode="_ * #,##0.0_ ;_ * \-#,##0.0_ ;_ * &quot;-&quot;??_ ;_ @_ "/>
    <numFmt numFmtId="183" formatCode="dd/mm/yyyy\ hh:mm"/>
    <numFmt numFmtId="184" formatCode="dd/mm/yyyy"/>
  </numFmts>
  <fonts count="48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rgb="FF333333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mbria"/>
      <charset val="134"/>
    </font>
    <font>
      <sz val="10"/>
      <name val="Calibri"/>
      <charset val="134"/>
      <scheme val="minor"/>
    </font>
    <font>
      <b/>
      <sz val="12"/>
      <color rgb="FF000000"/>
      <name val="Calibri"/>
      <charset val="134"/>
    </font>
    <font>
      <b/>
      <sz val="10"/>
      <color rgb="FF313131"/>
      <name val="Calibri"/>
      <charset val="134"/>
    </font>
    <font>
      <b/>
      <sz val="11"/>
      <name val="Calibri"/>
      <charset val="134"/>
    </font>
    <font>
      <sz val="10"/>
      <name val="Roboto"/>
      <charset val="134"/>
    </font>
    <font>
      <sz val="24"/>
      <color theme="1"/>
      <name val="Calibri"/>
      <charset val="134"/>
      <scheme val="minor"/>
    </font>
    <font>
      <b/>
      <sz val="12"/>
      <color rgb="FF943634"/>
      <name val="Calibri"/>
      <charset val="134"/>
      <scheme val="minor"/>
    </font>
    <font>
      <b/>
      <sz val="11"/>
      <color rgb="FF943634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0"/>
      <color rgb="FF943634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Calibri"/>
      <charset val="1"/>
    </font>
    <font>
      <sz val="11"/>
      <color indexed="8"/>
      <name val="Calibri"/>
      <charset val="134"/>
    </font>
    <font>
      <sz val="10"/>
      <name val="Lohit Hindi"/>
      <charset val="134"/>
    </font>
    <font>
      <sz val="10"/>
      <color rgb="FF000000"/>
      <name val="Times New Roman"/>
      <charset val="134"/>
    </font>
    <font>
      <sz val="11"/>
      <color rgb="FF000000"/>
      <name val="Calibri"/>
      <charset val="1"/>
    </font>
    <font>
      <sz val="10"/>
      <color rgb="FF00B0F0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12" borderId="15" applyNumberFormat="0" applyAlignment="0" applyProtection="0">
      <alignment vertical="center"/>
    </xf>
    <xf numFmtId="0" fontId="32" fillId="12" borderId="14" applyNumberFormat="0" applyAlignment="0" applyProtection="0">
      <alignment vertical="center"/>
    </xf>
    <xf numFmtId="0" fontId="33" fillId="13" borderId="16" applyNumberFormat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1" fillId="0" borderId="0"/>
    <xf numFmtId="180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42" fillId="0" borderId="0"/>
    <xf numFmtId="0" fontId="0" fillId="0" borderId="0"/>
    <xf numFmtId="0" fontId="43" fillId="0" borderId="0"/>
    <xf numFmtId="0" fontId="44" fillId="0" borderId="0"/>
    <xf numFmtId="0" fontId="41" fillId="0" borderId="0"/>
    <xf numFmtId="0" fontId="0" fillId="0" borderId="0"/>
    <xf numFmtId="0" fontId="45" fillId="0" borderId="0"/>
    <xf numFmtId="0" fontId="46" fillId="0" borderId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81" fontId="2" fillId="4" borderId="1" xfId="0" applyNumberFormat="1" applyFont="1" applyFill="1" applyBorder="1"/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81" fontId="3" fillId="0" borderId="1" xfId="5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81" fontId="5" fillId="0" borderId="1" xfId="51" applyNumberFormat="1" applyFont="1" applyFill="1" applyBorder="1" applyAlignment="1">
      <alignment vertical="center"/>
    </xf>
    <xf numFmtId="181" fontId="3" fillId="0" borderId="1" xfId="51" applyNumberFormat="1" applyFont="1" applyFill="1" applyBorder="1" applyAlignment="1">
      <alignment horizontal="left" vertical="center"/>
    </xf>
    <xf numFmtId="181" fontId="3" fillId="0" borderId="1" xfId="51" applyNumberFormat="1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81" fontId="5" fillId="6" borderId="1" xfId="51" applyNumberFormat="1" applyFont="1" applyFill="1" applyBorder="1" applyAlignment="1">
      <alignment horizontal="left" vertical="center"/>
    </xf>
    <xf numFmtId="181" fontId="5" fillId="6" borderId="1" xfId="51" applyNumberFormat="1" applyFont="1" applyFill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176" fontId="4" fillId="0" borderId="4" xfId="0" applyNumberFormat="1" applyFont="1" applyBorder="1" applyAlignment="1">
      <alignment vertical="center"/>
    </xf>
    <xf numFmtId="180" fontId="4" fillId="0" borderId="1" xfId="0" applyNumberFormat="1" applyFont="1" applyBorder="1" applyAlignment="1">
      <alignment vertical="center"/>
    </xf>
    <xf numFmtId="176" fontId="5" fillId="0" borderId="1" xfId="1" applyFont="1" applyFill="1" applyBorder="1" applyAlignment="1">
      <alignment vertical="center"/>
    </xf>
    <xf numFmtId="180" fontId="4" fillId="0" borderId="0" xfId="0" applyNumberFormat="1" applyFont="1" applyAlignment="1">
      <alignment vertical="center"/>
    </xf>
    <xf numFmtId="181" fontId="5" fillId="0" borderId="1" xfId="51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vertical="center"/>
    </xf>
    <xf numFmtId="176" fontId="6" fillId="0" borderId="1" xfId="0" applyNumberFormat="1" applyFont="1" applyBorder="1" applyAlignment="1">
      <alignment vertical="center"/>
    </xf>
    <xf numFmtId="0" fontId="7" fillId="0" borderId="0" xfId="0" applyFont="1"/>
    <xf numFmtId="182" fontId="5" fillId="0" borderId="1" xfId="51" applyNumberFormat="1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81" fontId="5" fillId="0" borderId="1" xfId="51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181" fontId="3" fillId="0" borderId="1" xfId="51" applyNumberFormat="1" applyFont="1" applyFill="1" applyBorder="1" applyAlignment="1">
      <alignment horizontal="center" vertical="center" wrapText="1"/>
    </xf>
    <xf numFmtId="176" fontId="5" fillId="0" borderId="1" xfId="51" applyFont="1" applyFill="1" applyBorder="1" applyAlignment="1">
      <alignment vertical="center"/>
    </xf>
    <xf numFmtId="181" fontId="4" fillId="0" borderId="1" xfId="51" applyNumberFormat="1" applyFont="1" applyBorder="1" applyAlignment="1">
      <alignment horizontal="center" vertical="center"/>
    </xf>
    <xf numFmtId="181" fontId="4" fillId="0" borderId="0" xfId="0" applyNumberFormat="1" applyFont="1" applyAlignment="1">
      <alignment vertical="center"/>
    </xf>
    <xf numFmtId="4" fontId="5" fillId="0" borderId="1" xfId="51" applyNumberFormat="1" applyFont="1" applyFill="1" applyBorder="1" applyAlignment="1">
      <alignment vertical="center"/>
    </xf>
    <xf numFmtId="4" fontId="4" fillId="0" borderId="1" xfId="51" applyNumberFormat="1" applyFont="1" applyBorder="1" applyAlignment="1">
      <alignment vertical="center"/>
    </xf>
    <xf numFmtId="4" fontId="3" fillId="0" borderId="1" xfId="51" applyNumberFormat="1" applyFont="1" applyFill="1" applyBorder="1" applyAlignment="1">
      <alignment vertical="center"/>
    </xf>
    <xf numFmtId="181" fontId="5" fillId="7" borderId="1" xfId="51" applyNumberFormat="1" applyFont="1" applyFill="1" applyBorder="1" applyAlignment="1">
      <alignment vertical="center"/>
    </xf>
    <xf numFmtId="181" fontId="5" fillId="7" borderId="1" xfId="51" applyNumberFormat="1" applyFont="1" applyFill="1" applyBorder="1" applyAlignment="1">
      <alignment horizontal="center" vertical="center"/>
    </xf>
    <xf numFmtId="4" fontId="5" fillId="7" borderId="1" xfId="51" applyNumberFormat="1" applyFont="1" applyFill="1" applyBorder="1" applyAlignment="1">
      <alignment vertical="center"/>
    </xf>
    <xf numFmtId="181" fontId="4" fillId="0" borderId="1" xfId="51" applyNumberFormat="1" applyFont="1" applyFill="1" applyBorder="1" applyAlignment="1">
      <alignment vertical="center"/>
    </xf>
    <xf numFmtId="181" fontId="4" fillId="0" borderId="1" xfId="51" applyNumberFormat="1" applyFont="1" applyFill="1" applyBorder="1" applyAlignment="1">
      <alignment horizontal="center" vertical="center"/>
    </xf>
    <xf numFmtId="181" fontId="6" fillId="0" borderId="1" xfId="51" applyNumberFormat="1" applyFont="1" applyFill="1" applyBorder="1" applyAlignment="1">
      <alignment vertical="center"/>
    </xf>
    <xf numFmtId="181" fontId="6" fillId="0" borderId="1" xfId="51" applyNumberFormat="1" applyFont="1" applyFill="1" applyBorder="1" applyAlignment="1">
      <alignment horizontal="left" vertical="center"/>
    </xf>
    <xf numFmtId="4" fontId="6" fillId="0" borderId="1" xfId="5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vertical="center"/>
    </xf>
    <xf numFmtId="176" fontId="4" fillId="0" borderId="0" xfId="0" applyNumberFormat="1" applyFont="1" applyAlignment="1">
      <alignment vertical="center"/>
    </xf>
    <xf numFmtId="4" fontId="6" fillId="0" borderId="1" xfId="3" applyNumberFormat="1" applyFont="1" applyFill="1" applyBorder="1" applyAlignment="1">
      <alignment horizontal="right" vertical="center"/>
    </xf>
    <xf numFmtId="9" fontId="4" fillId="0" borderId="0" xfId="3" applyFont="1" applyAlignment="1">
      <alignment vertical="center"/>
    </xf>
    <xf numFmtId="1" fontId="8" fillId="0" borderId="0" xfId="0" applyNumberFormat="1" applyFont="1"/>
    <xf numFmtId="0" fontId="8" fillId="0" borderId="0" xfId="0" applyFont="1"/>
    <xf numFmtId="1" fontId="1" fillId="2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1" fontId="5" fillId="0" borderId="5" xfId="0" applyNumberFormat="1" applyFont="1" applyBorder="1" applyAlignment="1">
      <alignment horizontal="center" vertical="center" shrinkToFit="1"/>
    </xf>
    <xf numFmtId="4" fontId="4" fillId="0" borderId="1" xfId="0" applyNumberFormat="1" applyFont="1" applyBorder="1" applyAlignment="1">
      <alignment horizontal="right" vertical="center"/>
    </xf>
    <xf numFmtId="1" fontId="5" fillId="0" borderId="6" xfId="0" applyNumberFormat="1" applyFont="1" applyBorder="1" applyAlignment="1">
      <alignment horizontal="center" vertical="center" shrinkToFit="1"/>
    </xf>
    <xf numFmtId="1" fontId="5" fillId="0" borderId="4" xfId="0" applyNumberFormat="1" applyFont="1" applyBorder="1" applyAlignment="1">
      <alignment horizontal="center" vertical="center" shrinkToFit="1"/>
    </xf>
    <xf numFmtId="1" fontId="4" fillId="0" borderId="0" xfId="0" applyNumberFormat="1" applyFont="1"/>
    <xf numFmtId="4" fontId="6" fillId="0" borderId="0" xfId="0" applyNumberFormat="1" applyFont="1" applyAlignment="1">
      <alignment horizontal="center" vertical="center"/>
    </xf>
    <xf numFmtId="4" fontId="6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top"/>
    </xf>
    <xf numFmtId="0" fontId="12" fillId="8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183" fontId="15" fillId="0" borderId="1" xfId="0" applyNumberFormat="1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right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7" fillId="0" borderId="0" xfId="60" applyFont="1" applyAlignment="1">
      <alignment vertical="center"/>
    </xf>
    <xf numFmtId="0" fontId="18" fillId="0" borderId="0" xfId="60" applyFont="1" applyAlignment="1">
      <alignment vertical="center"/>
    </xf>
    <xf numFmtId="0" fontId="19" fillId="0" borderId="0" xfId="60" applyFont="1" applyAlignment="1">
      <alignment horizontal="left" vertical="center"/>
    </xf>
    <xf numFmtId="0" fontId="19" fillId="0" borderId="0" xfId="60" applyFont="1" applyAlignment="1">
      <alignment vertical="center"/>
    </xf>
    <xf numFmtId="0" fontId="20" fillId="0" borderId="0" xfId="60" applyFont="1" applyAlignment="1">
      <alignment horizontal="justify" vertical="center"/>
    </xf>
    <xf numFmtId="0" fontId="5" fillId="0" borderId="0" xfId="60" applyFont="1"/>
    <xf numFmtId="0" fontId="19" fillId="0" borderId="0" xfId="60" applyFont="1"/>
    <xf numFmtId="0" fontId="21" fillId="2" borderId="1" xfId="60" applyFont="1" applyFill="1" applyBorder="1" applyAlignment="1">
      <alignment horizontal="center" vertical="center" wrapText="1"/>
    </xf>
    <xf numFmtId="0" fontId="4" fillId="0" borderId="1" xfId="60" applyFont="1" applyBorder="1" applyAlignment="1">
      <alignment horizontal="left" vertical="center" wrapText="1"/>
    </xf>
    <xf numFmtId="0" fontId="4" fillId="0" borderId="3" xfId="60" applyFont="1" applyBorder="1" applyAlignment="1">
      <alignment horizontal="center" vertical="center" wrapText="1"/>
    </xf>
    <xf numFmtId="0" fontId="4" fillId="0" borderId="10" xfId="60" applyFont="1" applyBorder="1" applyAlignment="1">
      <alignment horizontal="center" vertical="center" wrapText="1"/>
    </xf>
    <xf numFmtId="0" fontId="4" fillId="0" borderId="8" xfId="60" applyFont="1" applyBorder="1" applyAlignment="1">
      <alignment horizontal="center" vertical="center" wrapText="1"/>
    </xf>
    <xf numFmtId="0" fontId="4" fillId="0" borderId="1" xfId="60" applyFont="1" applyBorder="1" applyAlignment="1">
      <alignment horizontal="center" vertical="center" wrapText="1"/>
    </xf>
    <xf numFmtId="0" fontId="6" fillId="0" borderId="1" xfId="60" applyFont="1" applyBorder="1" applyAlignment="1">
      <alignment horizontal="center" vertical="center" wrapText="1"/>
    </xf>
    <xf numFmtId="0" fontId="4" fillId="0" borderId="0" xfId="60" applyFont="1" applyAlignment="1">
      <alignment vertical="center" wrapText="1"/>
    </xf>
    <xf numFmtId="0" fontId="5" fillId="0" borderId="0" xfId="60" applyFont="1" applyAlignment="1">
      <alignment horizontal="justify" vertical="center"/>
    </xf>
    <xf numFmtId="184" fontId="4" fillId="0" borderId="1" xfId="60" applyNumberFormat="1" applyFont="1" applyBorder="1" applyAlignment="1">
      <alignment horizontal="center" vertical="center" wrapText="1"/>
    </xf>
    <xf numFmtId="0" fontId="5" fillId="0" borderId="0" xfId="60" applyFont="1" applyAlignment="1">
      <alignment horizontal="center" vertical="center"/>
    </xf>
    <xf numFmtId="0" fontId="4" fillId="0" borderId="0" xfId="60" applyFont="1" applyAlignment="1">
      <alignment horizontal="center" vertical="center" wrapText="1"/>
    </xf>
    <xf numFmtId="0" fontId="4" fillId="0" borderId="1" xfId="60" applyFont="1" applyBorder="1" applyAlignment="1">
      <alignment vertical="center" wrapText="1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%" xfId="49"/>
    <cellStyle name="Comma 2" xfId="50"/>
    <cellStyle name="Comma 2 2" xfId="51"/>
    <cellStyle name="Comma 3" xfId="52"/>
    <cellStyle name="Normal 2" xfId="53"/>
    <cellStyle name="Normal 2 2" xfId="54"/>
    <cellStyle name="Normal 2 3" xfId="55"/>
    <cellStyle name="Normal 3" xfId="56"/>
    <cellStyle name="Normal 4" xfId="57"/>
    <cellStyle name="Normal 5" xfId="58"/>
    <cellStyle name="Normal 6" xfId="59"/>
    <cellStyle name="Normal 7" xfId="60"/>
  </cellStyles>
  <tableStyles count="0" defaultTableStyle="TableStyleMedium2" defaultPivotStyle="PivotStyleLight16"/>
  <colors>
    <mruColors>
      <color rgb="0066FF99"/>
      <color rgb="00CCFF66"/>
      <color rgb="00CCCCFF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285750</xdr:colOff>
      <xdr:row>0</xdr:row>
      <xdr:rowOff>31751</xdr:rowOff>
    </xdr:from>
    <xdr:to>
      <xdr:col>0</xdr:col>
      <xdr:colOff>1438275</xdr:colOff>
      <xdr:row>1</xdr:row>
      <xdr:rowOff>12701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1750"/>
          <a:ext cx="1152525" cy="7321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opLeftCell="A3" workbookViewId="0">
      <selection activeCell="D10" sqref="D10"/>
    </sheetView>
  </sheetViews>
  <sheetFormatPr defaultColWidth="9" defaultRowHeight="15" outlineLevelCol="5"/>
  <cols>
    <col min="1" max="1" width="29.8190476190476" customWidth="1"/>
    <col min="2" max="2" width="27" customWidth="1"/>
    <col min="3" max="3" width="17.4571428571429" customWidth="1"/>
    <col min="4" max="4" width="26.5428571428571" customWidth="1"/>
    <col min="5" max="5" width="37.2666666666667" customWidth="1"/>
    <col min="6" max="6" width="19.8190476190476" customWidth="1"/>
  </cols>
  <sheetData>
    <row r="1" ht="59.15" customHeight="1"/>
    <row r="2" ht="15.75" spans="1:6">
      <c r="A2" s="116" t="s">
        <v>0</v>
      </c>
      <c r="B2" s="117"/>
      <c r="C2" s="117"/>
      <c r="D2" s="117"/>
      <c r="E2" s="117"/>
      <c r="F2" s="117"/>
    </row>
    <row r="3" spans="1:6">
      <c r="A3" s="117"/>
      <c r="B3" s="117"/>
      <c r="C3" s="117"/>
      <c r="D3" s="117"/>
      <c r="E3" s="117"/>
      <c r="F3" s="117"/>
    </row>
    <row r="4" spans="1:6">
      <c r="A4" s="118" t="s">
        <v>1</v>
      </c>
      <c r="B4" s="118"/>
      <c r="C4" s="118"/>
      <c r="D4" s="118"/>
      <c r="E4" s="118"/>
      <c r="F4" s="119"/>
    </row>
    <row r="5" spans="1:6">
      <c r="A5" s="120" t="s">
        <v>2</v>
      </c>
      <c r="B5" s="121"/>
      <c r="C5" s="121"/>
      <c r="D5" s="121"/>
      <c r="E5" s="121"/>
      <c r="F5" s="122"/>
    </row>
    <row r="6" spans="1:6">
      <c r="A6" s="123" t="s">
        <v>3</v>
      </c>
      <c r="B6" s="123" t="s">
        <v>4</v>
      </c>
      <c r="C6" s="123" t="s">
        <v>5</v>
      </c>
      <c r="D6" s="123" t="s">
        <v>6</v>
      </c>
      <c r="E6" s="123" t="s">
        <v>7</v>
      </c>
      <c r="F6" s="122"/>
    </row>
    <row r="7" spans="1:6">
      <c r="A7" s="124" t="s">
        <v>8</v>
      </c>
      <c r="B7" s="125" t="s">
        <v>9</v>
      </c>
      <c r="C7" s="125" t="s">
        <v>10</v>
      </c>
      <c r="D7" s="125" t="s">
        <v>11</v>
      </c>
      <c r="E7" s="125" t="s">
        <v>12</v>
      </c>
      <c r="F7" s="122"/>
    </row>
    <row r="8" spans="1:6">
      <c r="A8" s="124" t="s">
        <v>13</v>
      </c>
      <c r="B8" s="126"/>
      <c r="C8" s="126"/>
      <c r="D8" s="126"/>
      <c r="E8" s="126"/>
      <c r="F8" s="122"/>
    </row>
    <row r="9" spans="1:6">
      <c r="A9" s="124" t="s">
        <v>14</v>
      </c>
      <c r="B9" s="127"/>
      <c r="C9" s="127"/>
      <c r="D9" s="127"/>
      <c r="E9" s="127"/>
      <c r="F9" s="122"/>
    </row>
    <row r="10" spans="1:6">
      <c r="A10" s="124"/>
      <c r="B10" s="127"/>
      <c r="C10" s="127"/>
      <c r="D10" s="127"/>
      <c r="E10" s="127"/>
      <c r="F10" s="122"/>
    </row>
    <row r="11" spans="1:6">
      <c r="A11" s="124"/>
      <c r="B11" s="127"/>
      <c r="C11" s="127"/>
      <c r="D11" s="127"/>
      <c r="E11" s="127"/>
      <c r="F11" s="122"/>
    </row>
    <row r="12" spans="1:6">
      <c r="A12" s="124"/>
      <c r="B12" s="128"/>
      <c r="C12" s="128"/>
      <c r="D12" s="128"/>
      <c r="E12" s="129"/>
      <c r="F12" s="122"/>
    </row>
    <row r="13" spans="1:6">
      <c r="A13" s="130"/>
      <c r="B13" s="130"/>
      <c r="C13" s="130"/>
      <c r="D13" s="130"/>
      <c r="E13" s="130"/>
      <c r="F13" s="130"/>
    </row>
    <row r="14" spans="1:6">
      <c r="A14" s="131"/>
      <c r="B14" s="121"/>
      <c r="C14" s="121"/>
      <c r="D14" s="121"/>
      <c r="E14" s="121"/>
      <c r="F14" s="122"/>
    </row>
    <row r="15" spans="1:6">
      <c r="A15" s="129" t="s">
        <v>15</v>
      </c>
      <c r="B15" s="128" t="s">
        <v>8</v>
      </c>
      <c r="C15" s="129" t="s">
        <v>16</v>
      </c>
      <c r="D15" s="132" t="s">
        <v>17</v>
      </c>
      <c r="E15" s="121"/>
      <c r="F15" s="122"/>
    </row>
    <row r="16" spans="1:6">
      <c r="A16" s="133"/>
      <c r="B16" s="134"/>
      <c r="C16" s="121"/>
      <c r="D16" s="121"/>
      <c r="E16" s="121"/>
      <c r="F16" s="122"/>
    </row>
    <row r="17" spans="1:6">
      <c r="A17" s="129" t="s">
        <v>18</v>
      </c>
      <c r="B17" s="128" t="s">
        <v>19</v>
      </c>
      <c r="C17" s="129" t="s">
        <v>20</v>
      </c>
      <c r="D17" s="135"/>
      <c r="E17" s="121"/>
      <c r="F17" s="122"/>
    </row>
    <row r="18" spans="1:6">
      <c r="A18" s="133"/>
      <c r="B18" s="121"/>
      <c r="C18" s="121"/>
      <c r="D18" s="121"/>
      <c r="E18" s="121"/>
      <c r="F18" s="122"/>
    </row>
    <row r="19" spans="1:6">
      <c r="A19" s="129" t="s">
        <v>21</v>
      </c>
      <c r="B19" s="132"/>
      <c r="C19" s="42"/>
      <c r="D19" s="42"/>
      <c r="E19" s="42"/>
    </row>
  </sheetData>
  <mergeCells count="5">
    <mergeCell ref="A4:E4"/>
    <mergeCell ref="B7:B9"/>
    <mergeCell ref="C7:C9"/>
    <mergeCell ref="D7:D9"/>
    <mergeCell ref="E7:E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zoomScale="110" zoomScaleNormal="110" workbookViewId="0">
      <pane xSplit="1" ySplit="1" topLeftCell="B4" activePane="bottomRight" state="frozen"/>
      <selection/>
      <selection pane="topRight"/>
      <selection pane="bottomLeft"/>
      <selection pane="bottomRight" activeCell="C7" sqref="C7"/>
    </sheetView>
  </sheetViews>
  <sheetFormatPr defaultColWidth="8.72380952380952" defaultRowHeight="15" outlineLevelCol="6"/>
  <cols>
    <col min="1" max="1" width="6" style="109" customWidth="1"/>
    <col min="2" max="2" width="26.2666666666667" style="110" customWidth="1"/>
    <col min="3" max="3" width="42.1809523809524" style="110" customWidth="1"/>
    <col min="4" max="4" width="10.2666666666667" style="110" customWidth="1"/>
    <col min="5" max="5" width="44.9047619047619" style="110" customWidth="1"/>
    <col min="6" max="16384" width="8.72380952380952" style="110"/>
  </cols>
  <sheetData>
    <row r="1" ht="31.5" spans="1:7">
      <c r="A1" s="100" t="s">
        <v>22</v>
      </c>
      <c r="B1" s="100" t="s">
        <v>23</v>
      </c>
      <c r="C1" s="100" t="s">
        <v>24</v>
      </c>
      <c r="D1" s="100" t="s">
        <v>6</v>
      </c>
      <c r="E1" s="100" t="s">
        <v>25</v>
      </c>
    </row>
    <row r="2" spans="1:7">
      <c r="A2" s="111">
        <v>1</v>
      </c>
      <c r="B2" s="112" t="s">
        <v>26</v>
      </c>
      <c r="C2" s="113"/>
      <c r="D2" s="113"/>
      <c r="E2" s="113"/>
    </row>
    <row r="3" ht="31.5" spans="1:7">
      <c r="A3" s="111">
        <v>1.1</v>
      </c>
      <c r="B3" s="113"/>
      <c r="C3" s="112" t="s">
        <v>27</v>
      </c>
      <c r="D3" s="113"/>
      <c r="E3" s="113"/>
      <c r="G3" s="114"/>
    </row>
    <row r="4" ht="25.5" spans="1:7">
      <c r="A4" s="111">
        <v>1.2</v>
      </c>
      <c r="B4" s="113"/>
      <c r="C4" s="112" t="s">
        <v>28</v>
      </c>
      <c r="D4" s="113"/>
      <c r="E4" s="113"/>
    </row>
    <row r="5" spans="1:7">
      <c r="A5" s="111">
        <v>1.3</v>
      </c>
      <c r="B5" s="113"/>
      <c r="C5" s="112" t="s">
        <v>29</v>
      </c>
      <c r="D5" s="113"/>
      <c r="E5" s="113"/>
    </row>
    <row r="6" spans="1:7">
      <c r="A6" s="111">
        <v>2</v>
      </c>
      <c r="B6" s="112" t="s">
        <v>30</v>
      </c>
      <c r="C6" s="113"/>
      <c r="D6" s="113"/>
      <c r="E6" s="113"/>
    </row>
    <row r="7" ht="25.5" spans="1:7">
      <c r="A7" s="111">
        <v>2.1</v>
      </c>
      <c r="B7" s="113"/>
      <c r="C7" s="112" t="s">
        <v>31</v>
      </c>
      <c r="D7" s="113"/>
      <c r="E7" s="98"/>
    </row>
    <row r="8" spans="1:7">
      <c r="A8" s="111">
        <v>2.2</v>
      </c>
      <c r="B8" s="113"/>
      <c r="C8" s="112" t="s">
        <v>32</v>
      </c>
      <c r="D8" s="113"/>
      <c r="E8" s="113"/>
    </row>
    <row r="9" spans="1:7">
      <c r="A9" s="111">
        <v>2.3</v>
      </c>
      <c r="B9" s="113"/>
      <c r="C9" s="112" t="s">
        <v>33</v>
      </c>
      <c r="D9" s="113"/>
      <c r="E9" s="113"/>
    </row>
    <row r="10" spans="1:7">
      <c r="A10" s="111">
        <v>2.4</v>
      </c>
      <c r="B10" s="113"/>
      <c r="C10" s="112" t="s">
        <v>34</v>
      </c>
      <c r="D10" s="113"/>
      <c r="E10" s="113"/>
    </row>
    <row r="11" spans="1:7">
      <c r="A11" s="111">
        <v>2.5</v>
      </c>
      <c r="B11" s="113"/>
      <c r="C11" s="112" t="s">
        <v>35</v>
      </c>
      <c r="D11" s="113"/>
      <c r="E11" s="113"/>
    </row>
    <row r="12" spans="1:7">
      <c r="A12" s="111">
        <v>2.6</v>
      </c>
      <c r="B12" s="113"/>
      <c r="C12" s="112" t="s">
        <v>36</v>
      </c>
      <c r="D12" s="113"/>
      <c r="E12" s="113"/>
    </row>
    <row r="13" spans="1:7">
      <c r="A13" s="111">
        <v>3</v>
      </c>
      <c r="B13" s="112" t="s">
        <v>37</v>
      </c>
      <c r="C13" s="113"/>
      <c r="D13" s="113"/>
      <c r="E13" s="113"/>
    </row>
    <row r="14" spans="1:7">
      <c r="A14" s="111">
        <v>3.1</v>
      </c>
      <c r="B14" s="113"/>
      <c r="C14" s="112" t="s">
        <v>38</v>
      </c>
      <c r="D14" s="113"/>
      <c r="E14" s="113"/>
    </row>
    <row r="15" spans="1:7">
      <c r="A15" s="111">
        <v>3.2</v>
      </c>
      <c r="B15" s="113"/>
      <c r="C15" s="112" t="s">
        <v>39</v>
      </c>
      <c r="D15" s="113"/>
      <c r="E15" s="113"/>
    </row>
    <row r="16" spans="1:7">
      <c r="A16" s="111">
        <v>3.3</v>
      </c>
      <c r="B16" s="113"/>
      <c r="C16" s="112" t="s">
        <v>40</v>
      </c>
      <c r="D16" s="113"/>
      <c r="E16" s="113"/>
    </row>
    <row r="17" ht="25.5" spans="1:5">
      <c r="A17" s="111">
        <v>3.4</v>
      </c>
      <c r="B17" s="113"/>
      <c r="C17" s="112" t="s">
        <v>41</v>
      </c>
      <c r="D17" s="113"/>
      <c r="E17" s="113"/>
    </row>
    <row r="18" spans="1:5">
      <c r="A18" s="111">
        <v>4</v>
      </c>
      <c r="B18" s="112" t="s">
        <v>42</v>
      </c>
      <c r="C18" s="113"/>
      <c r="D18" s="113"/>
      <c r="E18" s="113"/>
    </row>
    <row r="19" spans="1:5">
      <c r="A19" s="111">
        <v>4.1</v>
      </c>
      <c r="B19" s="113"/>
      <c r="C19" s="104" t="s">
        <v>43</v>
      </c>
      <c r="D19" s="113"/>
      <c r="E19" s="113"/>
    </row>
    <row r="20" ht="25.5" spans="1:5">
      <c r="A20" s="111">
        <v>4.2</v>
      </c>
      <c r="B20" s="113"/>
      <c r="C20" s="112" t="s">
        <v>44</v>
      </c>
      <c r="D20" s="113"/>
      <c r="E20" s="113"/>
    </row>
    <row r="21" ht="25.5" spans="1:5">
      <c r="A21" s="111">
        <v>4.3</v>
      </c>
      <c r="B21" s="113"/>
      <c r="C21" s="112" t="s">
        <v>45</v>
      </c>
      <c r="D21" s="113"/>
      <c r="E21" s="113"/>
    </row>
    <row r="22" spans="1:5">
      <c r="A22" s="111">
        <v>5</v>
      </c>
      <c r="B22" s="112" t="s">
        <v>46</v>
      </c>
      <c r="C22" s="113"/>
      <c r="D22" s="113"/>
      <c r="E22" s="113"/>
    </row>
    <row r="23" spans="1:5">
      <c r="A23" s="111">
        <v>5.1</v>
      </c>
      <c r="B23" s="113"/>
      <c r="C23" s="104" t="s">
        <v>47</v>
      </c>
      <c r="D23" s="113"/>
      <c r="E23" s="113"/>
    </row>
    <row r="24" spans="1:5">
      <c r="A24" s="111">
        <v>5.2</v>
      </c>
      <c r="B24" s="113"/>
      <c r="C24" s="112" t="s">
        <v>48</v>
      </c>
      <c r="D24" s="113"/>
      <c r="E24" s="113"/>
    </row>
    <row r="25" spans="1:5">
      <c r="A25" s="111">
        <v>6</v>
      </c>
      <c r="B25" s="112" t="s">
        <v>49</v>
      </c>
      <c r="C25" s="113"/>
      <c r="D25" s="113"/>
      <c r="E25" s="113"/>
    </row>
    <row r="26" spans="1:5">
      <c r="A26" s="111">
        <v>6.1</v>
      </c>
      <c r="B26" s="113"/>
      <c r="C26" s="104" t="s">
        <v>50</v>
      </c>
      <c r="D26" s="113"/>
      <c r="E26" s="113"/>
    </row>
    <row r="27" ht="25.5" spans="1:5">
      <c r="A27" s="111">
        <v>6.2</v>
      </c>
      <c r="B27" s="113"/>
      <c r="C27" s="112" t="s">
        <v>51</v>
      </c>
      <c r="D27" s="113"/>
      <c r="E27" s="113"/>
    </row>
    <row r="28" spans="1:5">
      <c r="A28" s="111">
        <v>7</v>
      </c>
      <c r="B28" s="112" t="s">
        <v>52</v>
      </c>
      <c r="C28" s="113"/>
      <c r="D28" s="113"/>
      <c r="E28" s="113"/>
    </row>
    <row r="29" ht="25.5" spans="1:5">
      <c r="A29" s="111">
        <v>7.1</v>
      </c>
      <c r="B29" s="113"/>
      <c r="C29" s="104" t="s">
        <v>53</v>
      </c>
      <c r="D29" s="113"/>
      <c r="E29" s="113"/>
    </row>
    <row r="30" ht="25.5" spans="1:5">
      <c r="A30" s="111">
        <v>7.2</v>
      </c>
      <c r="B30" s="113"/>
      <c r="C30" s="112" t="s">
        <v>54</v>
      </c>
      <c r="D30" s="113"/>
      <c r="E30" s="113"/>
    </row>
    <row r="31" spans="1:5">
      <c r="A31" s="111">
        <v>8</v>
      </c>
      <c r="B31" s="112" t="s">
        <v>55</v>
      </c>
      <c r="C31" s="113"/>
      <c r="D31" s="113"/>
      <c r="E31" s="113"/>
    </row>
    <row r="32" ht="25.5" spans="1:5">
      <c r="A32" s="111">
        <v>8.1</v>
      </c>
      <c r="B32" s="113"/>
      <c r="C32" s="104" t="s">
        <v>56</v>
      </c>
      <c r="D32" s="113"/>
      <c r="E32" s="113"/>
    </row>
    <row r="33" spans="1:5">
      <c r="A33" s="111">
        <v>8.2</v>
      </c>
      <c r="B33" s="113"/>
      <c r="C33" s="112" t="s">
        <v>57</v>
      </c>
      <c r="D33" s="113"/>
      <c r="E33" s="113"/>
    </row>
    <row r="34" spans="1:5">
      <c r="A34" s="111">
        <v>8.3</v>
      </c>
      <c r="B34" s="113"/>
      <c r="C34" s="112" t="s">
        <v>58</v>
      </c>
      <c r="D34" s="113"/>
      <c r="E34" s="113"/>
    </row>
    <row r="35" ht="25.5" spans="1:5">
      <c r="A35" s="111">
        <v>9</v>
      </c>
      <c r="B35" s="112" t="s">
        <v>59</v>
      </c>
      <c r="C35" s="113"/>
      <c r="D35" s="113"/>
      <c r="E35" s="113"/>
    </row>
    <row r="36" spans="1:5">
      <c r="A36" s="111">
        <v>9.1</v>
      </c>
      <c r="B36" s="113"/>
      <c r="C36" s="104" t="s">
        <v>60</v>
      </c>
      <c r="D36" s="113"/>
      <c r="E36" s="113"/>
    </row>
    <row r="37" spans="1:5">
      <c r="A37" s="111">
        <v>9.2</v>
      </c>
      <c r="B37" s="113"/>
      <c r="C37" s="104" t="s">
        <v>61</v>
      </c>
      <c r="D37" s="113"/>
      <c r="E37" s="113"/>
    </row>
    <row r="38" spans="1:5">
      <c r="A38" s="111">
        <v>9.3</v>
      </c>
      <c r="B38" s="113"/>
      <c r="C38" s="104" t="s">
        <v>62</v>
      </c>
      <c r="D38" s="113"/>
      <c r="E38" s="113"/>
    </row>
    <row r="39" ht="25.5" spans="1:5">
      <c r="A39" s="111">
        <v>10</v>
      </c>
      <c r="B39" s="112" t="s">
        <v>63</v>
      </c>
      <c r="C39" s="113"/>
      <c r="D39" s="113"/>
      <c r="E39" s="113"/>
    </row>
    <row r="40" ht="25.5" spans="1:5">
      <c r="A40" s="111">
        <v>10.1</v>
      </c>
      <c r="B40" s="113"/>
      <c r="C40" s="104" t="s">
        <v>64</v>
      </c>
      <c r="D40" s="113"/>
      <c r="E40" s="113"/>
    </row>
    <row r="41" ht="25.5" spans="1:5">
      <c r="A41" s="111">
        <v>10.2</v>
      </c>
      <c r="B41" s="113"/>
      <c r="C41" s="104" t="s">
        <v>65</v>
      </c>
      <c r="D41" s="113"/>
      <c r="E41" s="113"/>
    </row>
    <row r="42" spans="1:5">
      <c r="A42" s="111">
        <v>11</v>
      </c>
      <c r="B42" s="112" t="s">
        <v>66</v>
      </c>
      <c r="C42" s="113"/>
      <c r="D42" s="113"/>
      <c r="E42" s="113"/>
    </row>
    <row r="43" spans="1:5">
      <c r="A43" s="111">
        <v>11.1</v>
      </c>
      <c r="B43" s="113"/>
      <c r="C43" s="104" t="s">
        <v>67</v>
      </c>
      <c r="D43" s="113"/>
      <c r="E43" s="113"/>
    </row>
    <row r="44" ht="25.5" spans="1:5">
      <c r="A44" s="111">
        <v>11.2</v>
      </c>
      <c r="B44" s="113"/>
      <c r="C44" s="104" t="s">
        <v>68</v>
      </c>
      <c r="D44" s="113"/>
      <c r="E44" s="113"/>
    </row>
    <row r="45" ht="25.5" spans="1:5">
      <c r="A45" s="111">
        <v>11.3</v>
      </c>
      <c r="B45" s="113"/>
      <c r="C45" s="104" t="s">
        <v>69</v>
      </c>
      <c r="D45" s="113"/>
      <c r="E45" s="113"/>
    </row>
    <row r="46" spans="1:5">
      <c r="A46" s="111">
        <v>12</v>
      </c>
      <c r="B46" s="112" t="s">
        <v>70</v>
      </c>
      <c r="C46" s="113"/>
      <c r="D46" s="113"/>
      <c r="E46" s="113"/>
    </row>
    <row r="47" spans="1:5">
      <c r="A47" s="111">
        <v>12.1</v>
      </c>
      <c r="B47" s="113"/>
      <c r="C47" s="104" t="s">
        <v>71</v>
      </c>
      <c r="D47" s="113"/>
      <c r="E47" s="113"/>
    </row>
    <row r="48" spans="1:5">
      <c r="A48" s="111">
        <v>12.3</v>
      </c>
      <c r="B48" s="113"/>
      <c r="C48" s="104" t="s">
        <v>72</v>
      </c>
      <c r="D48" s="113"/>
      <c r="E48" s="113"/>
    </row>
    <row r="49" spans="1:5">
      <c r="A49" s="111">
        <v>12.4</v>
      </c>
      <c r="B49" s="113"/>
      <c r="C49" s="104" t="s">
        <v>73</v>
      </c>
      <c r="D49" s="113"/>
      <c r="E49" s="113"/>
    </row>
    <row r="50" spans="1:5">
      <c r="A50" s="111">
        <v>12.5</v>
      </c>
      <c r="B50" s="113"/>
      <c r="C50" s="115" t="s">
        <v>74</v>
      </c>
      <c r="D50" s="113"/>
      <c r="E50" s="113"/>
    </row>
  </sheetData>
  <dataValidations count="2">
    <dataValidation type="list" allowBlank="1" showInputMessage="1" showErrorMessage="1" sqref="D2 D4:D50">
      <formula1>"Yes, No, NA"</formula1>
    </dataValidation>
    <dataValidation type="list" allowBlank="1" showInputMessage="1" showErrorMessage="1" sqref="D3">
      <formula1>"Yes, No, NA, 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topLeftCell="A9" workbookViewId="0">
      <selection activeCell="B27" sqref="B27"/>
    </sheetView>
  </sheetViews>
  <sheetFormatPr defaultColWidth="8.72380952380952" defaultRowHeight="15" outlineLevelCol="1"/>
  <cols>
    <col min="1" max="1" width="30.4571428571429" style="102" customWidth="1"/>
    <col min="2" max="2" width="32.4571428571429" style="103" customWidth="1"/>
    <col min="3" max="3" width="46.2666666666667" style="18" customWidth="1"/>
    <col min="4" max="16384" width="8.72380952380952" style="18"/>
  </cols>
  <sheetData>
    <row r="1" ht="15.75" spans="1:2">
      <c r="A1" s="100" t="s">
        <v>75</v>
      </c>
      <c r="B1" s="100"/>
    </row>
    <row r="2" spans="1:2">
      <c r="A2" s="104" t="s">
        <v>76</v>
      </c>
      <c r="B2"/>
    </row>
    <row r="3" spans="1:2">
      <c r="A3" s="104" t="s">
        <v>77</v>
      </c>
      <c r="B3"/>
    </row>
    <row r="4" spans="1:2">
      <c r="A4" s="104" t="s">
        <v>78</v>
      </c>
      <c r="B4" s="45"/>
    </row>
    <row r="5" spans="1:2">
      <c r="A5" s="104" t="s">
        <v>79</v>
      </c>
      <c r="B5" s="45"/>
    </row>
    <row r="6" spans="1:2">
      <c r="A6" s="104" t="s">
        <v>80</v>
      </c>
      <c r="B6" s="105"/>
    </row>
    <row r="7" spans="1:2">
      <c r="A7" s="104" t="s">
        <v>81</v>
      </c>
      <c r="B7" s="106"/>
    </row>
    <row r="8" spans="1:2">
      <c r="A8" s="104" t="s">
        <v>82</v>
      </c>
      <c r="B8" s="45"/>
    </row>
    <row r="9" spans="1:2">
      <c r="A9" s="104" t="s">
        <v>83</v>
      </c>
      <c r="B9" s="45"/>
    </row>
    <row r="10" spans="1:2">
      <c r="A10" s="104" t="s">
        <v>84</v>
      </c>
      <c r="B10" s="45"/>
    </row>
    <row r="11" ht="25.5" spans="1:2">
      <c r="A11" s="104" t="s">
        <v>85</v>
      </c>
      <c r="B11" s="45"/>
    </row>
    <row r="12" spans="1:2">
      <c r="A12" s="104" t="s">
        <v>86</v>
      </c>
      <c r="B12" s="45"/>
    </row>
    <row r="13" spans="1:2">
      <c r="A13" s="104" t="s">
        <v>87</v>
      </c>
      <c r="B13" s="104"/>
    </row>
    <row r="14" spans="1:2">
      <c r="A14" s="104" t="s">
        <v>88</v>
      </c>
      <c r="B14" s="104"/>
    </row>
    <row r="15" spans="1:2">
      <c r="A15" s="104" t="s">
        <v>89</v>
      </c>
      <c r="B15" s="45"/>
    </row>
    <row r="16" ht="25.5" spans="1:2">
      <c r="A16" s="104" t="s">
        <v>90</v>
      </c>
      <c r="B16" s="45"/>
    </row>
    <row r="17" spans="1:2">
      <c r="A17" s="104" t="s">
        <v>91</v>
      </c>
      <c r="B17" s="104"/>
    </row>
    <row r="18" ht="25.5" spans="1:2">
      <c r="A18" s="104" t="s">
        <v>92</v>
      </c>
      <c r="B18" s="104"/>
    </row>
    <row r="19" spans="1:2">
      <c r="A19" s="107" t="s">
        <v>93</v>
      </c>
      <c r="B19" s="108">
        <v>1</v>
      </c>
    </row>
    <row r="20" ht="25.5" spans="1:2">
      <c r="A20" s="104" t="s">
        <v>94</v>
      </c>
      <c r="B20" s="104"/>
    </row>
    <row r="21" spans="1:2">
      <c r="A21" s="104" t="s">
        <v>95</v>
      </c>
      <c r="B21" s="104"/>
    </row>
    <row r="22" spans="1:2">
      <c r="A22" s="104" t="s">
        <v>96</v>
      </c>
      <c r="B22" s="45"/>
    </row>
    <row r="23" spans="1:2">
      <c r="A23" s="104" t="s">
        <v>97</v>
      </c>
      <c r="B23" s="45"/>
    </row>
    <row r="24" ht="25.5" spans="1:2">
      <c r="A24" s="104" t="s">
        <v>98</v>
      </c>
      <c r="B24" s="45"/>
    </row>
    <row r="25" spans="1:2">
      <c r="A25" s="104" t="s">
        <v>99</v>
      </c>
      <c r="B25" s="45"/>
    </row>
  </sheetData>
  <mergeCells count="1">
    <mergeCell ref="A1:B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A3" sqref="A3"/>
    </sheetView>
  </sheetViews>
  <sheetFormatPr defaultColWidth="9" defaultRowHeight="15" outlineLevelCol="4"/>
  <cols>
    <col min="1" max="1" width="7.54285714285714" customWidth="1"/>
    <col min="2" max="5" width="35.4571428571429" style="98" customWidth="1"/>
  </cols>
  <sheetData>
    <row r="1" ht="15.75" spans="1:5">
      <c r="A1" s="99" t="s">
        <v>100</v>
      </c>
      <c r="B1" s="99"/>
    </row>
    <row r="2" ht="15.75" spans="1:5">
      <c r="A2" s="100" t="s">
        <v>22</v>
      </c>
      <c r="B2" s="100" t="s">
        <v>101</v>
      </c>
      <c r="C2" s="100" t="s">
        <v>102</v>
      </c>
      <c r="D2" s="100" t="s">
        <v>103</v>
      </c>
      <c r="E2" s="100" t="s">
        <v>104</v>
      </c>
    </row>
    <row r="3" spans="1:5">
      <c r="A3" s="62">
        <v>1</v>
      </c>
      <c r="B3" s="101" t="s">
        <v>105</v>
      </c>
      <c r="C3" s="101" t="s">
        <v>106</v>
      </c>
      <c r="D3" s="101" t="s">
        <v>107</v>
      </c>
      <c r="E3" s="101" t="s">
        <v>108</v>
      </c>
    </row>
    <row r="4" spans="1:5">
      <c r="A4" s="62">
        <v>2</v>
      </c>
      <c r="B4" s="101" t="s">
        <v>109</v>
      </c>
      <c r="C4" s="101" t="s">
        <v>110</v>
      </c>
      <c r="D4" s="101" t="s">
        <v>111</v>
      </c>
      <c r="E4" s="101" t="s">
        <v>112</v>
      </c>
    </row>
    <row r="5" ht="25.5" spans="1:5">
      <c r="A5" s="62">
        <v>3</v>
      </c>
      <c r="B5" s="101" t="s">
        <v>113</v>
      </c>
      <c r="C5" s="101" t="s">
        <v>114</v>
      </c>
      <c r="D5" s="101" t="s">
        <v>115</v>
      </c>
      <c r="E5" s="101" t="s">
        <v>116</v>
      </c>
    </row>
    <row r="6" ht="25.5" spans="1:5">
      <c r="A6" s="62">
        <v>4</v>
      </c>
      <c r="B6" s="101" t="s">
        <v>117</v>
      </c>
      <c r="C6" s="101" t="s">
        <v>118</v>
      </c>
      <c r="D6" s="101" t="s">
        <v>119</v>
      </c>
      <c r="E6" s="101" t="s">
        <v>120</v>
      </c>
    </row>
    <row r="7" ht="25.5" spans="1:5">
      <c r="A7" s="62">
        <v>5</v>
      </c>
      <c r="B7" s="101" t="s">
        <v>121</v>
      </c>
      <c r="C7" s="101" t="s">
        <v>122</v>
      </c>
      <c r="D7" s="101" t="s">
        <v>123</v>
      </c>
      <c r="E7" s="101" t="s">
        <v>124</v>
      </c>
    </row>
    <row r="8" ht="25.5" spans="1:5">
      <c r="A8" s="62">
        <v>6</v>
      </c>
      <c r="B8" s="101" t="s">
        <v>125</v>
      </c>
      <c r="C8" s="101" t="s">
        <v>126</v>
      </c>
      <c r="D8" s="101" t="s">
        <v>127</v>
      </c>
      <c r="E8" s="101" t="s">
        <v>128</v>
      </c>
    </row>
    <row r="9" ht="25.5" spans="1:5">
      <c r="A9" s="62">
        <v>7</v>
      </c>
      <c r="B9" s="101" t="s">
        <v>129</v>
      </c>
      <c r="C9" s="101" t="s">
        <v>130</v>
      </c>
      <c r="D9" s="101" t="s">
        <v>131</v>
      </c>
      <c r="E9" s="101" t="s">
        <v>132</v>
      </c>
    </row>
    <row r="10" ht="25.5" spans="1:5">
      <c r="A10" s="62">
        <v>8</v>
      </c>
      <c r="B10" s="101" t="s">
        <v>133</v>
      </c>
      <c r="C10" s="101" t="s">
        <v>134</v>
      </c>
      <c r="D10" s="101" t="s">
        <v>135</v>
      </c>
      <c r="E10" s="101" t="s">
        <v>136</v>
      </c>
    </row>
    <row r="11" ht="25.5" spans="1:5">
      <c r="A11" s="62">
        <v>9</v>
      </c>
      <c r="B11" s="101" t="s">
        <v>137</v>
      </c>
      <c r="C11" s="101" t="s">
        <v>138</v>
      </c>
      <c r="D11" s="101" t="s">
        <v>139</v>
      </c>
      <c r="E11" s="101" t="s">
        <v>140</v>
      </c>
    </row>
    <row r="12" ht="25.5" spans="1:5">
      <c r="A12" s="62">
        <v>10</v>
      </c>
      <c r="B12" s="101" t="s">
        <v>141</v>
      </c>
      <c r="C12" s="101" t="s">
        <v>142</v>
      </c>
      <c r="D12" s="101" t="s">
        <v>143</v>
      </c>
      <c r="E12" s="101" t="s">
        <v>144</v>
      </c>
    </row>
  </sheetData>
  <mergeCells count="1">
    <mergeCell ref="A1:B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5"/>
  <sheetViews>
    <sheetView tabSelected="1" workbookViewId="0">
      <selection activeCell="C7" sqref="C7"/>
    </sheetView>
  </sheetViews>
  <sheetFormatPr defaultColWidth="8.72380952380952" defaultRowHeight="15" outlineLevelCol="7"/>
  <cols>
    <col min="1" max="1" width="14" style="93" customWidth="1"/>
    <col min="2" max="2" width="62.1428571428571" style="93" customWidth="1"/>
    <col min="3" max="3" width="44.4285714285714" style="93" customWidth="1"/>
    <col min="4" max="4" width="29.1428571428571" style="93" customWidth="1"/>
    <col min="5" max="5" width="59.7142857142857" style="94" customWidth="1"/>
    <col min="6" max="6" width="9.42857142857143" customWidth="1"/>
    <col min="8" max="16384" width="8.72380952380952" style="94"/>
  </cols>
  <sheetData>
    <row r="1" ht="15.75" spans="1:8">
      <c r="A1" s="95" t="s">
        <v>145</v>
      </c>
      <c r="B1" s="95"/>
      <c r="C1" s="95"/>
      <c r="D1" s="95"/>
      <c r="E1" s="95"/>
      <c r="F1"/>
      <c r="G1"/>
      <c r="H1"/>
    </row>
    <row r="2" spans="1:8">
      <c r="A2" s="96" t="s">
        <v>146</v>
      </c>
      <c r="B2" s="97" t="s">
        <v>147</v>
      </c>
      <c r="C2" s="97" t="s">
        <v>148</v>
      </c>
      <c r="D2" s="97" t="s">
        <v>149</v>
      </c>
      <c r="E2" s="97" t="s">
        <v>150</v>
      </c>
    </row>
    <row r="3" ht="20.25" customHeight="1"/>
    <row r="10" s="92" customFormat="1" spans="1:8">
      <c r="A10" s="93"/>
      <c r="B10" s="93"/>
      <c r="C10" s="93"/>
      <c r="D10" s="93"/>
      <c r="F10"/>
      <c r="G10"/>
    </row>
    <row r="11" s="92" customFormat="1" spans="1:8">
      <c r="A11" s="93"/>
      <c r="B11" s="93"/>
      <c r="C11" s="93"/>
      <c r="D11" s="93"/>
      <c r="F11"/>
      <c r="G11"/>
    </row>
    <row r="12" s="92" customFormat="1" spans="1:8">
      <c r="A12" s="93"/>
      <c r="B12" s="93"/>
      <c r="C12" s="93"/>
      <c r="D12" s="93"/>
      <c r="F12"/>
      <c r="G12"/>
    </row>
    <row r="48" ht="31.5" customHeight="1"/>
    <row r="62" ht="31.5" customHeight="1"/>
    <row r="73" ht="15.75" customHeight="1"/>
    <row r="94" ht="63" customHeight="1"/>
    <row r="112" ht="15.75" customHeight="1"/>
    <row r="121" ht="15.75" customHeight="1"/>
    <row r="123" ht="15.75" customHeight="1"/>
    <row r="125" ht="15.75" customHeight="1"/>
    <row r="134" ht="15.75" customHeight="1"/>
    <row r="148" ht="15.75" customHeight="1"/>
    <row r="151" customHeight="1"/>
    <row r="153" ht="15.75" customHeight="1"/>
    <row r="155" ht="15.75" customHeight="1"/>
    <row r="164" ht="15.75" customHeight="1"/>
    <row r="189" ht="31.5" customHeight="1"/>
    <row r="192" ht="31.5" customHeight="1"/>
    <row r="206" ht="15.75" customHeight="1"/>
    <row r="210" ht="15.75" customHeight="1"/>
    <row r="212" ht="15.75" customHeight="1"/>
    <row r="215" ht="15.75" customHeight="1"/>
  </sheetData>
  <mergeCells count="1">
    <mergeCell ref="A1:E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10" workbookViewId="0">
      <selection activeCell="A10" sqref="A10"/>
    </sheetView>
  </sheetViews>
  <sheetFormatPr defaultColWidth="8.81904761904762" defaultRowHeight="15.75" outlineLevelCol="5"/>
  <cols>
    <col min="1" max="1" width="9.18095238095238" style="69" customWidth="1"/>
    <col min="2" max="2" width="33.5428571428571" style="70" customWidth="1"/>
    <col min="3" max="3" width="23.1809523809524" style="70" customWidth="1"/>
    <col min="4" max="4" width="7.54285714285714" style="70" customWidth="1"/>
    <col min="5" max="5" width="9.81904761904762" style="70" customWidth="1"/>
    <col min="6" max="6" width="12.5428571428571" style="70" customWidth="1"/>
    <col min="7" max="7" width="8.18095238095238" style="70" customWidth="1"/>
    <col min="8" max="8" width="8.54285714285714" style="70" customWidth="1"/>
    <col min="9" max="16384" width="8.81904761904762" style="70"/>
  </cols>
  <sheetData>
    <row r="1" spans="1:6">
      <c r="A1" s="71" t="s">
        <v>151</v>
      </c>
      <c r="B1" s="71"/>
      <c r="C1" s="71"/>
      <c r="D1" s="71"/>
      <c r="E1" s="71"/>
      <c r="F1" s="71"/>
    </row>
    <row r="2" spans="1:6">
      <c r="A2" s="72" t="s">
        <v>22</v>
      </c>
      <c r="B2" s="73" t="s">
        <v>152</v>
      </c>
      <c r="C2" s="73" t="s">
        <v>153</v>
      </c>
      <c r="D2" s="73" t="s">
        <v>150</v>
      </c>
      <c r="E2" s="74" t="s">
        <v>154</v>
      </c>
      <c r="F2" s="74" t="s">
        <v>155</v>
      </c>
    </row>
    <row r="3" spans="1:6">
      <c r="A3" s="75"/>
      <c r="B3" s="76" t="s">
        <v>156</v>
      </c>
      <c r="C3" s="77" t="s">
        <v>157</v>
      </c>
      <c r="D3" s="78">
        <v>10</v>
      </c>
      <c r="E3" s="79">
        <v>9000</v>
      </c>
      <c r="F3" s="79">
        <f>D3*E3</f>
        <v>90000</v>
      </c>
    </row>
    <row r="4" spans="1:6">
      <c r="A4" s="75"/>
      <c r="B4" s="76" t="s">
        <v>158</v>
      </c>
      <c r="C4" s="77" t="s">
        <v>157</v>
      </c>
      <c r="D4" s="78">
        <v>6</v>
      </c>
      <c r="E4" s="79">
        <v>5000</v>
      </c>
      <c r="F4" s="79">
        <f t="shared" ref="F4:F5" si="0">D4*E4</f>
        <v>30000</v>
      </c>
    </row>
    <row r="5" spans="1:6">
      <c r="A5" s="75"/>
      <c r="B5" s="76" t="s">
        <v>159</v>
      </c>
      <c r="C5" s="77" t="s">
        <v>157</v>
      </c>
      <c r="D5" s="78">
        <v>6</v>
      </c>
      <c r="E5" s="79">
        <v>700</v>
      </c>
      <c r="F5" s="79">
        <f t="shared" si="0"/>
        <v>4200</v>
      </c>
    </row>
    <row r="6" spans="1:6">
      <c r="A6" s="75"/>
      <c r="B6" s="76"/>
      <c r="C6" s="77"/>
      <c r="D6" s="78"/>
      <c r="E6" s="79"/>
      <c r="F6" s="79"/>
    </row>
    <row r="7" spans="1:6">
      <c r="A7" s="75"/>
      <c r="B7" s="76"/>
      <c r="C7" s="77"/>
      <c r="D7" s="78"/>
      <c r="E7" s="79"/>
      <c r="F7" s="79"/>
    </row>
    <row r="8" spans="1:6">
      <c r="A8" s="80"/>
      <c r="B8" s="81"/>
      <c r="C8" s="81"/>
      <c r="D8" s="82"/>
      <c r="E8" s="83" t="s">
        <v>160</v>
      </c>
      <c r="F8" s="84">
        <f>SUM(F3:F7)</f>
        <v>124200</v>
      </c>
    </row>
    <row r="11" spans="1:6">
      <c r="A11" s="71" t="s">
        <v>161</v>
      </c>
      <c r="B11" s="71"/>
      <c r="C11" s="71"/>
      <c r="D11" s="71"/>
      <c r="E11" s="71"/>
      <c r="F11" s="71"/>
    </row>
    <row r="12" spans="1:6">
      <c r="A12" s="72" t="s">
        <v>22</v>
      </c>
      <c r="B12" s="73" t="s">
        <v>152</v>
      </c>
      <c r="C12" s="73" t="s">
        <v>153</v>
      </c>
      <c r="D12" s="73" t="s">
        <v>150</v>
      </c>
      <c r="E12" s="25" t="s">
        <v>154</v>
      </c>
      <c r="F12" s="25" t="s">
        <v>155</v>
      </c>
    </row>
    <row r="13" spans="1:6">
      <c r="A13" s="85"/>
      <c r="B13" s="77"/>
      <c r="C13" s="77"/>
      <c r="D13" s="78"/>
      <c r="E13" s="86"/>
      <c r="F13" s="86">
        <f>D13*E13</f>
        <v>0</v>
      </c>
    </row>
    <row r="14" spans="1:6">
      <c r="A14" s="85"/>
      <c r="B14" s="77"/>
      <c r="C14" s="77"/>
      <c r="D14" s="78"/>
      <c r="E14" s="86"/>
      <c r="F14" s="86">
        <f t="shared" ref="F14:F19" si="1">D14*E14</f>
        <v>0</v>
      </c>
    </row>
    <row r="15" spans="1:6">
      <c r="A15" s="87"/>
      <c r="B15" s="77"/>
      <c r="C15" s="77"/>
      <c r="D15" s="78"/>
      <c r="E15" s="86"/>
      <c r="F15" s="86">
        <f t="shared" si="1"/>
        <v>0</v>
      </c>
    </row>
    <row r="16" spans="1:6">
      <c r="A16" s="75"/>
      <c r="B16" s="77"/>
      <c r="C16" s="77"/>
      <c r="D16" s="78"/>
      <c r="E16" s="86"/>
      <c r="F16" s="86">
        <f t="shared" si="1"/>
        <v>0</v>
      </c>
    </row>
    <row r="17" spans="1:6">
      <c r="A17" s="75"/>
      <c r="B17" s="77"/>
      <c r="C17" s="77"/>
      <c r="D17" s="78"/>
      <c r="E17" s="86"/>
      <c r="F17" s="86">
        <f t="shared" si="1"/>
        <v>0</v>
      </c>
    </row>
    <row r="18" spans="1:6">
      <c r="A18" s="88"/>
      <c r="B18" s="77"/>
      <c r="C18" s="77"/>
      <c r="D18" s="78"/>
      <c r="E18" s="86"/>
      <c r="F18" s="86">
        <f t="shared" si="1"/>
        <v>0</v>
      </c>
    </row>
    <row r="19" spans="1:6">
      <c r="A19" s="88"/>
      <c r="B19" s="77"/>
      <c r="C19" s="77"/>
      <c r="D19" s="78">
        <v>10</v>
      </c>
      <c r="E19" s="86"/>
      <c r="F19" s="86">
        <f t="shared" si="1"/>
        <v>0</v>
      </c>
    </row>
    <row r="20" spans="1:6">
      <c r="A20" s="89"/>
      <c r="B20" s="42"/>
      <c r="C20" s="42"/>
      <c r="D20" s="42"/>
      <c r="E20" s="90" t="s">
        <v>162</v>
      </c>
      <c r="F20" s="91">
        <f>SUM(F13:F19)</f>
        <v>0</v>
      </c>
    </row>
  </sheetData>
  <mergeCells count="2">
    <mergeCell ref="A1:F1"/>
    <mergeCell ref="A11:F1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74"/>
  <sheetViews>
    <sheetView showGridLines="0" workbookViewId="0">
      <selection activeCell="B1" sqref="B1:G1"/>
    </sheetView>
  </sheetViews>
  <sheetFormatPr defaultColWidth="8.81904761904762" defaultRowHeight="15"/>
  <cols>
    <col min="2" max="2" width="14" customWidth="1"/>
    <col min="3" max="3" width="15.1809523809524" customWidth="1"/>
    <col min="4" max="4" width="32.5428571428571" customWidth="1"/>
    <col min="5" max="5" width="10.1809523809524" customWidth="1"/>
    <col min="7" max="7" width="24.7238095238095" customWidth="1"/>
    <col min="8" max="8" width="12.5428571428571" customWidth="1"/>
    <col min="9" max="9" width="14.4571428571429" customWidth="1"/>
    <col min="10" max="10" width="11.7238095238095" customWidth="1"/>
    <col min="11" max="11" width="11.5428571428571" customWidth="1"/>
  </cols>
  <sheetData>
    <row r="1" ht="15.75" spans="2:11">
      <c r="B1" s="17" t="s">
        <v>163</v>
      </c>
      <c r="C1" s="17"/>
      <c r="D1" s="17"/>
      <c r="E1" s="17"/>
      <c r="F1" s="17"/>
      <c r="G1" s="17"/>
      <c r="H1" s="18"/>
      <c r="I1" s="18"/>
      <c r="J1" s="18"/>
      <c r="K1" s="18"/>
    </row>
    <row r="2" spans="2:11">
      <c r="B2" s="19" t="s">
        <v>22</v>
      </c>
      <c r="C2" s="19" t="s">
        <v>164</v>
      </c>
      <c r="D2" s="19"/>
      <c r="E2" s="19"/>
      <c r="F2" s="19"/>
      <c r="G2" s="19" t="s">
        <v>165</v>
      </c>
      <c r="H2" s="20"/>
      <c r="I2" s="20"/>
      <c r="J2" s="20"/>
      <c r="K2" s="20"/>
    </row>
    <row r="3" spans="2:11">
      <c r="B3" s="21">
        <v>1</v>
      </c>
      <c r="C3" s="22" t="s">
        <v>166</v>
      </c>
      <c r="D3" s="22"/>
      <c r="E3" s="19" t="s">
        <v>167</v>
      </c>
      <c r="F3" s="19" t="s">
        <v>150</v>
      </c>
      <c r="G3" s="23" t="s">
        <v>168</v>
      </c>
      <c r="H3" s="24" t="s">
        <v>169</v>
      </c>
      <c r="I3" s="25" t="s">
        <v>170</v>
      </c>
      <c r="J3" s="26" t="s">
        <v>171</v>
      </c>
      <c r="K3" s="27" t="s">
        <v>172</v>
      </c>
    </row>
    <row r="4" spans="2:11">
      <c r="B4" s="21"/>
      <c r="C4" s="28" t="s">
        <v>173</v>
      </c>
      <c r="D4" s="28"/>
      <c r="E4" s="29"/>
      <c r="F4" s="29"/>
      <c r="G4" s="30"/>
      <c r="H4" s="31">
        <f>G4*18%</f>
        <v>0</v>
      </c>
      <c r="I4" s="32">
        <f>SUM(G4:H4)</f>
        <v>0</v>
      </c>
      <c r="J4" s="33">
        <f>I4*3%</f>
        <v>0</v>
      </c>
      <c r="K4" s="34">
        <f>J4*5%</f>
        <v>0</v>
      </c>
    </row>
    <row r="5" spans="2:11">
      <c r="B5" s="21"/>
      <c r="C5" s="28" t="s">
        <v>174</v>
      </c>
      <c r="D5" s="28"/>
      <c r="E5" s="29"/>
      <c r="F5" s="29"/>
      <c r="G5" s="35"/>
      <c r="H5" s="20"/>
      <c r="I5" s="20"/>
      <c r="J5" s="20"/>
      <c r="K5" s="36"/>
    </row>
    <row r="6" spans="2:11">
      <c r="B6" s="21"/>
      <c r="C6" s="37"/>
      <c r="D6" s="37"/>
      <c r="E6" s="21"/>
      <c r="F6" s="21"/>
      <c r="G6" s="21"/>
      <c r="H6" s="20"/>
      <c r="I6" s="20"/>
      <c r="J6" s="38"/>
      <c r="K6" s="20"/>
    </row>
    <row r="7" spans="2:11">
      <c r="B7" s="21"/>
      <c r="C7" s="23" t="s">
        <v>175</v>
      </c>
      <c r="D7" s="21"/>
      <c r="E7" s="21"/>
      <c r="F7" s="23"/>
      <c r="G7" s="39"/>
      <c r="H7" s="36"/>
      <c r="I7" s="36"/>
      <c r="J7" s="20"/>
      <c r="K7" s="20"/>
    </row>
    <row r="8" spans="2:11">
      <c r="B8" s="21"/>
      <c r="C8" s="21"/>
      <c r="D8" s="21"/>
      <c r="E8" s="21"/>
      <c r="F8" s="21"/>
      <c r="G8" s="21"/>
      <c r="H8" s="36"/>
      <c r="I8" s="36"/>
      <c r="J8" s="20"/>
      <c r="K8" s="40"/>
    </row>
    <row r="9" spans="2:11">
      <c r="B9" s="23">
        <v>2</v>
      </c>
      <c r="C9" s="22" t="s">
        <v>176</v>
      </c>
      <c r="D9" s="22"/>
      <c r="E9" s="23"/>
      <c r="F9" s="23"/>
      <c r="G9" s="23"/>
      <c r="H9" s="20"/>
      <c r="I9" s="36"/>
      <c r="J9" s="20"/>
      <c r="K9" s="40"/>
    </row>
    <row r="10" spans="2:11">
      <c r="B10" s="21"/>
      <c r="C10" s="41">
        <v>2.1</v>
      </c>
      <c r="D10" s="21" t="s">
        <v>177</v>
      </c>
      <c r="E10" s="21"/>
      <c r="F10" s="21"/>
      <c r="G10" s="34">
        <f>G5*15%</f>
        <v>0</v>
      </c>
      <c r="H10" s="20"/>
      <c r="I10" s="20"/>
      <c r="J10" s="20"/>
      <c r="K10" s="20"/>
    </row>
    <row r="11" spans="2:11">
      <c r="B11" s="21"/>
      <c r="C11" s="41">
        <v>2.2</v>
      </c>
      <c r="D11" s="21" t="s">
        <v>178</v>
      </c>
      <c r="E11" s="21"/>
      <c r="F11" s="21"/>
      <c r="G11" s="34">
        <f>G10*8%</f>
        <v>0</v>
      </c>
      <c r="H11" s="20"/>
      <c r="I11" s="20"/>
      <c r="J11" s="20"/>
      <c r="K11" s="42"/>
    </row>
    <row r="12" spans="2:11">
      <c r="B12" s="21"/>
      <c r="C12" s="41">
        <v>2.3</v>
      </c>
      <c r="D12" s="21" t="s">
        <v>179</v>
      </c>
      <c r="E12" s="21"/>
      <c r="F12" s="21"/>
      <c r="G12" s="34"/>
      <c r="H12" s="20"/>
      <c r="I12" s="20"/>
      <c r="J12" s="20"/>
      <c r="K12" s="42"/>
    </row>
    <row r="13" spans="2:11">
      <c r="B13" s="21"/>
      <c r="C13" s="41">
        <v>2.4</v>
      </c>
      <c r="D13" s="21" t="s">
        <v>180</v>
      </c>
      <c r="E13" s="21"/>
      <c r="F13" s="21"/>
      <c r="G13" s="34">
        <f>G4*0%</f>
        <v>0</v>
      </c>
      <c r="H13" s="20"/>
      <c r="I13" s="20"/>
      <c r="J13" s="43"/>
      <c r="K13" s="20"/>
    </row>
    <row r="14" spans="2:11">
      <c r="B14" s="21"/>
      <c r="C14" s="41">
        <v>2.5</v>
      </c>
      <c r="D14" s="44" t="s">
        <v>181</v>
      </c>
      <c r="E14" s="21"/>
      <c r="F14" s="21"/>
      <c r="G14" s="45"/>
      <c r="H14" s="20"/>
      <c r="I14" s="20"/>
      <c r="J14" s="20"/>
      <c r="K14" s="20"/>
    </row>
    <row r="15" spans="2:11">
      <c r="B15" s="21"/>
      <c r="C15" s="41">
        <v>2.6</v>
      </c>
      <c r="D15" s="44" t="s">
        <v>182</v>
      </c>
      <c r="E15" s="21"/>
      <c r="F15" s="21"/>
      <c r="G15" s="45"/>
      <c r="H15" s="20"/>
      <c r="I15" s="20"/>
      <c r="J15" s="20"/>
      <c r="K15" s="20"/>
    </row>
    <row r="16" spans="2:11">
      <c r="B16" s="21"/>
      <c r="C16" s="23" t="s">
        <v>183</v>
      </c>
      <c r="D16" s="21"/>
      <c r="E16" s="21"/>
      <c r="F16" s="21"/>
      <c r="G16" s="46">
        <f>SUM(G10:G15)</f>
        <v>0</v>
      </c>
      <c r="H16" s="20"/>
      <c r="I16" s="20"/>
      <c r="J16" s="43"/>
      <c r="K16" s="20"/>
    </row>
    <row r="17" spans="2:11">
      <c r="B17" s="21"/>
      <c r="C17" s="21"/>
      <c r="D17" s="21"/>
      <c r="E17" s="21"/>
      <c r="F17" s="21"/>
      <c r="G17" s="21"/>
      <c r="H17" s="20"/>
      <c r="I17" s="20"/>
      <c r="J17" s="20"/>
      <c r="K17" s="20"/>
    </row>
    <row r="18" ht="25.5" spans="2:11">
      <c r="B18" s="23">
        <v>3</v>
      </c>
      <c r="C18" s="23" t="s">
        <v>184</v>
      </c>
      <c r="D18" s="23"/>
      <c r="E18" s="47" t="s">
        <v>185</v>
      </c>
      <c r="F18" s="47" t="s">
        <v>186</v>
      </c>
      <c r="G18" s="19" t="s">
        <v>187</v>
      </c>
      <c r="H18" s="20"/>
      <c r="I18" s="20"/>
      <c r="J18" s="20"/>
      <c r="K18" s="20"/>
    </row>
    <row r="19" ht="25.5" spans="2:11">
      <c r="B19" s="21"/>
      <c r="C19" s="48">
        <v>3.011</v>
      </c>
      <c r="D19" s="44" t="s">
        <v>188</v>
      </c>
      <c r="E19" s="49"/>
      <c r="F19" s="49">
        <v>1</v>
      </c>
      <c r="G19" s="30">
        <f>'Resource Cost '!F4</f>
        <v>0</v>
      </c>
      <c r="H19" s="50"/>
      <c r="I19" s="50"/>
      <c r="J19" s="20"/>
      <c r="K19" s="20"/>
    </row>
    <row r="20" spans="2:11">
      <c r="B20" s="21"/>
      <c r="C20" s="48">
        <v>3.02</v>
      </c>
      <c r="D20" s="21" t="s">
        <v>189</v>
      </c>
      <c r="E20" s="37"/>
      <c r="F20" s="37"/>
      <c r="G20" s="51"/>
      <c r="H20" s="20"/>
      <c r="I20" s="20"/>
      <c r="J20" s="20"/>
      <c r="K20" s="20"/>
    </row>
    <row r="21" spans="2:11">
      <c r="B21" s="21"/>
      <c r="C21" s="48">
        <v>3.03</v>
      </c>
      <c r="D21" s="21" t="s">
        <v>190</v>
      </c>
      <c r="E21" s="37"/>
      <c r="F21" s="37"/>
      <c r="G21" s="52">
        <f>E21*F21</f>
        <v>0</v>
      </c>
      <c r="H21" s="50"/>
      <c r="I21" s="20"/>
      <c r="J21" s="20"/>
      <c r="K21" s="20"/>
    </row>
    <row r="22" spans="2:11">
      <c r="B22" s="21"/>
      <c r="C22" s="48">
        <v>3.03933333333333</v>
      </c>
      <c r="D22" s="21" t="s">
        <v>191</v>
      </c>
      <c r="E22" s="37"/>
      <c r="F22" s="37"/>
      <c r="G22" s="51"/>
      <c r="H22" s="20"/>
      <c r="I22" s="20"/>
      <c r="J22" s="20"/>
      <c r="K22" s="20"/>
    </row>
    <row r="23" spans="2:11">
      <c r="B23" s="21"/>
      <c r="C23" s="48">
        <v>3.04883333333333</v>
      </c>
      <c r="D23" s="21" t="s">
        <v>192</v>
      </c>
      <c r="E23" s="37"/>
      <c r="F23" s="37">
        <v>0</v>
      </c>
      <c r="G23" s="52"/>
      <c r="H23" s="20"/>
      <c r="I23" s="20"/>
      <c r="J23" s="20"/>
      <c r="K23" s="20"/>
    </row>
    <row r="24" spans="2:11">
      <c r="B24" s="21"/>
      <c r="C24" s="48">
        <v>3.05833333333333</v>
      </c>
      <c r="D24" s="21" t="s">
        <v>193</v>
      </c>
      <c r="E24" s="37"/>
      <c r="F24" s="37"/>
      <c r="G24" s="51"/>
      <c r="H24" s="42"/>
      <c r="I24" s="20"/>
      <c r="J24" s="20"/>
      <c r="K24" s="20"/>
    </row>
    <row r="25" spans="2:11">
      <c r="B25" s="21"/>
      <c r="C25" s="48">
        <v>3.06783333333333</v>
      </c>
      <c r="D25" s="21" t="s">
        <v>194</v>
      </c>
      <c r="E25" s="37"/>
      <c r="F25" s="37"/>
      <c r="G25" s="51"/>
      <c r="H25" s="20"/>
      <c r="I25" s="20"/>
      <c r="J25" s="20"/>
      <c r="K25" s="20"/>
    </row>
    <row r="26" spans="2:11">
      <c r="B26" s="21"/>
      <c r="C26" s="48">
        <v>3.07733333333333</v>
      </c>
      <c r="D26" s="21" t="s">
        <v>195</v>
      </c>
      <c r="E26" s="37"/>
      <c r="F26" s="37"/>
      <c r="G26" s="51"/>
      <c r="H26" s="20"/>
      <c r="I26" s="20"/>
      <c r="J26" s="20"/>
      <c r="K26" s="20"/>
    </row>
    <row r="27" spans="2:11">
      <c r="B27" s="21"/>
      <c r="C27" s="48">
        <v>3.08683333333333</v>
      </c>
      <c r="D27" s="21" t="s">
        <v>196</v>
      </c>
      <c r="E27" s="37"/>
      <c r="F27" s="37"/>
      <c r="G27" s="51"/>
      <c r="H27" s="20"/>
      <c r="I27" s="20"/>
      <c r="J27" s="20"/>
      <c r="K27" s="20"/>
    </row>
    <row r="28" spans="2:11">
      <c r="B28" s="21"/>
      <c r="C28" s="48">
        <v>3.09633333333333</v>
      </c>
      <c r="D28" s="21" t="s">
        <v>197</v>
      </c>
      <c r="E28" s="37"/>
      <c r="F28" s="37"/>
      <c r="G28" s="52"/>
      <c r="H28" s="20"/>
      <c r="I28" s="20"/>
      <c r="J28" s="20"/>
      <c r="K28" s="20"/>
    </row>
    <row r="29" spans="2:11">
      <c r="B29" s="21"/>
      <c r="C29" s="23" t="s">
        <v>198</v>
      </c>
      <c r="D29" s="21"/>
      <c r="E29" s="37"/>
      <c r="F29" s="37"/>
      <c r="G29" s="53">
        <f>SUM(G19:G28)</f>
        <v>0</v>
      </c>
      <c r="H29" s="20"/>
      <c r="I29" s="20"/>
      <c r="J29" s="20"/>
      <c r="K29" s="20"/>
    </row>
    <row r="30" spans="2:11">
      <c r="B30" s="21"/>
      <c r="C30" s="23"/>
      <c r="D30" s="21"/>
      <c r="E30" s="37"/>
      <c r="F30" s="37"/>
      <c r="G30" s="53"/>
      <c r="H30" s="20"/>
      <c r="I30" s="20"/>
      <c r="J30" s="20"/>
      <c r="K30" s="20"/>
    </row>
    <row r="31" spans="2:11">
      <c r="B31" s="23">
        <v>4</v>
      </c>
      <c r="C31" s="23" t="s">
        <v>199</v>
      </c>
      <c r="D31" s="23"/>
      <c r="E31" s="19" t="s">
        <v>149</v>
      </c>
      <c r="F31" s="19" t="s">
        <v>150</v>
      </c>
      <c r="G31" s="53" t="s">
        <v>187</v>
      </c>
      <c r="H31" s="20"/>
      <c r="I31" s="20"/>
      <c r="J31" s="20"/>
      <c r="K31" s="20"/>
    </row>
    <row r="32" spans="2:11">
      <c r="B32" s="21"/>
      <c r="C32" s="48">
        <v>4.01</v>
      </c>
      <c r="D32" s="21" t="s">
        <v>200</v>
      </c>
      <c r="E32" s="37"/>
      <c r="F32" s="37"/>
      <c r="G32" s="51">
        <f>F32*E32</f>
        <v>0</v>
      </c>
      <c r="H32" s="20"/>
      <c r="I32" s="20"/>
      <c r="J32" s="20"/>
      <c r="K32" s="20"/>
    </row>
    <row r="33" spans="2:11">
      <c r="B33" s="21"/>
      <c r="C33" s="48">
        <v>4.02</v>
      </c>
      <c r="D33" s="21" t="s">
        <v>201</v>
      </c>
      <c r="E33" s="37"/>
      <c r="F33" s="37"/>
      <c r="G33" s="51">
        <v>0</v>
      </c>
      <c r="H33" s="20"/>
      <c r="I33" s="20"/>
      <c r="J33" s="20"/>
      <c r="K33" s="20"/>
    </row>
    <row r="34" spans="2:11">
      <c r="B34" s="21"/>
      <c r="C34" s="48">
        <v>4.03</v>
      </c>
      <c r="D34" s="21" t="s">
        <v>202</v>
      </c>
      <c r="E34" s="37"/>
      <c r="F34" s="37"/>
      <c r="G34" s="51"/>
      <c r="H34" s="20"/>
      <c r="I34" s="20"/>
      <c r="J34" s="20"/>
      <c r="K34" s="20"/>
    </row>
    <row r="35" spans="2:11">
      <c r="B35" s="21"/>
      <c r="C35" s="48">
        <v>4.04</v>
      </c>
      <c r="D35" s="21" t="s">
        <v>180</v>
      </c>
      <c r="E35" s="37"/>
      <c r="F35" s="37"/>
      <c r="G35" s="51">
        <v>1000</v>
      </c>
      <c r="H35" s="20"/>
      <c r="I35" s="20"/>
      <c r="J35" s="20"/>
      <c r="K35" s="20"/>
    </row>
    <row r="36" spans="2:11">
      <c r="B36" s="21"/>
      <c r="C36" s="48">
        <v>4.05</v>
      </c>
      <c r="D36" s="54" t="s">
        <v>203</v>
      </c>
      <c r="E36" s="55"/>
      <c r="F36" s="55"/>
      <c r="G36" s="56">
        <v>0</v>
      </c>
      <c r="H36" s="20"/>
      <c r="I36" s="20"/>
      <c r="J36" s="20"/>
      <c r="K36" s="20"/>
    </row>
    <row r="37" spans="2:11">
      <c r="B37" s="21"/>
      <c r="C37" s="48">
        <v>4.06</v>
      </c>
      <c r="D37" s="21" t="s">
        <v>204</v>
      </c>
      <c r="E37" s="37"/>
      <c r="F37" s="37"/>
      <c r="G37" s="51"/>
      <c r="H37" s="20"/>
      <c r="I37" s="20"/>
      <c r="J37" s="20"/>
      <c r="K37" s="20"/>
    </row>
    <row r="38" spans="2:11">
      <c r="B38" s="21"/>
      <c r="C38" s="48">
        <v>4.07</v>
      </c>
      <c r="D38" s="21" t="s">
        <v>205</v>
      </c>
      <c r="E38" s="37"/>
      <c r="F38" s="37"/>
      <c r="G38" s="51"/>
      <c r="H38" s="20"/>
      <c r="I38" s="20"/>
      <c r="J38" s="20"/>
      <c r="K38" s="20"/>
    </row>
    <row r="39" spans="2:11">
      <c r="B39" s="21"/>
      <c r="C39" s="48">
        <v>4.08</v>
      </c>
      <c r="D39" s="21" t="s">
        <v>206</v>
      </c>
      <c r="E39" s="37"/>
      <c r="F39" s="37"/>
      <c r="G39" s="51"/>
      <c r="H39" s="20"/>
      <c r="I39" s="20"/>
      <c r="J39" s="20"/>
      <c r="K39" s="20"/>
    </row>
    <row r="40" spans="2:11">
      <c r="B40" s="21"/>
      <c r="C40" s="48">
        <v>4.09</v>
      </c>
      <c r="D40" s="21" t="s">
        <v>207</v>
      </c>
      <c r="E40" s="37"/>
      <c r="F40" s="37"/>
      <c r="G40" s="51"/>
      <c r="H40" s="20"/>
      <c r="I40" s="20"/>
      <c r="J40" s="20"/>
      <c r="K40" s="20"/>
    </row>
    <row r="41" spans="2:11">
      <c r="B41" s="21"/>
      <c r="C41" s="48">
        <v>4.1</v>
      </c>
      <c r="D41" s="21" t="s">
        <v>208</v>
      </c>
      <c r="E41" s="37"/>
      <c r="F41" s="37"/>
      <c r="G41" s="51"/>
      <c r="H41" s="20"/>
      <c r="I41" s="20"/>
      <c r="J41" s="20"/>
      <c r="K41" s="20"/>
    </row>
    <row r="42" spans="2:11">
      <c r="B42" s="21"/>
      <c r="C42" s="48">
        <v>4.11</v>
      </c>
      <c r="D42" s="21" t="s">
        <v>209</v>
      </c>
      <c r="E42" s="37"/>
      <c r="F42" s="37"/>
      <c r="G42" s="51"/>
      <c r="H42" s="20"/>
      <c r="I42" s="20"/>
      <c r="J42" s="20"/>
      <c r="K42" s="20"/>
    </row>
    <row r="43" spans="2:11">
      <c r="B43" s="21"/>
      <c r="C43" s="48">
        <v>4.12</v>
      </c>
      <c r="D43" s="21" t="s">
        <v>210</v>
      </c>
      <c r="E43" s="37"/>
      <c r="F43" s="37"/>
      <c r="G43" s="51"/>
      <c r="H43" s="20"/>
      <c r="I43" s="20"/>
      <c r="J43" s="20"/>
      <c r="K43" s="20"/>
    </row>
    <row r="44" spans="2:11">
      <c r="B44" s="21"/>
      <c r="C44" s="48">
        <v>4.13</v>
      </c>
      <c r="D44" s="21" t="s">
        <v>211</v>
      </c>
      <c r="E44" s="37"/>
      <c r="F44" s="37"/>
      <c r="G44" s="51"/>
      <c r="H44" s="20"/>
      <c r="I44" s="20"/>
      <c r="J44" s="20"/>
      <c r="K44" s="20"/>
    </row>
    <row r="45" spans="2:11">
      <c r="B45" s="21"/>
      <c r="C45" s="48">
        <v>4.14</v>
      </c>
      <c r="D45" s="21" t="s">
        <v>212</v>
      </c>
      <c r="E45" s="37"/>
      <c r="F45" s="37"/>
      <c r="G45" s="51">
        <f>I4*0.5%</f>
        <v>0</v>
      </c>
      <c r="H45" s="20"/>
      <c r="I45" s="20"/>
      <c r="J45" s="20"/>
      <c r="K45" s="20"/>
    </row>
    <row r="46" spans="2:11">
      <c r="B46" s="21"/>
      <c r="C46" s="48">
        <v>4.15</v>
      </c>
      <c r="D46" s="21" t="s">
        <v>213</v>
      </c>
      <c r="E46" s="37"/>
      <c r="F46" s="37"/>
      <c r="G46" s="51">
        <f>K4</f>
        <v>0</v>
      </c>
      <c r="H46" s="20"/>
      <c r="I46" s="20"/>
      <c r="J46" s="20"/>
      <c r="K46" s="20"/>
    </row>
    <row r="47" spans="2:11">
      <c r="B47" s="21"/>
      <c r="C47" s="48">
        <v>4.16</v>
      </c>
      <c r="D47" s="21" t="s">
        <v>214</v>
      </c>
      <c r="E47" s="37"/>
      <c r="F47" s="37"/>
      <c r="G47" s="2"/>
      <c r="H47" s="20"/>
      <c r="I47" s="20"/>
      <c r="J47" s="20"/>
      <c r="K47" s="20"/>
    </row>
    <row r="48" spans="2:11">
      <c r="B48" s="21"/>
      <c r="C48" s="48">
        <v>4.17</v>
      </c>
      <c r="D48" s="21" t="s">
        <v>215</v>
      </c>
      <c r="E48" s="37"/>
      <c r="F48" s="37"/>
      <c r="G48" s="51"/>
      <c r="H48" s="50"/>
      <c r="I48" s="20"/>
      <c r="J48" s="20"/>
      <c r="K48" s="20"/>
    </row>
    <row r="49" spans="2:11">
      <c r="B49" s="23"/>
      <c r="C49" s="22" t="s">
        <v>216</v>
      </c>
      <c r="D49" s="22"/>
      <c r="E49" s="19"/>
      <c r="F49" s="19"/>
      <c r="G49" s="53">
        <f>SUM(G32:G48)</f>
        <v>1000</v>
      </c>
      <c r="H49" s="20"/>
      <c r="I49" s="20"/>
      <c r="J49" s="20"/>
      <c r="K49" s="20"/>
    </row>
    <row r="50" spans="2:11">
      <c r="B50" s="21"/>
      <c r="C50" s="57"/>
      <c r="D50" s="57"/>
      <c r="E50" s="58"/>
      <c r="F50" s="37"/>
      <c r="G50" s="51"/>
      <c r="H50" s="20"/>
      <c r="I50" s="20"/>
      <c r="J50" s="20"/>
      <c r="K50" s="20"/>
    </row>
    <row r="51" spans="2:11">
      <c r="B51" s="23">
        <v>5</v>
      </c>
      <c r="C51" s="23" t="s">
        <v>217</v>
      </c>
      <c r="D51" s="23"/>
      <c r="E51" s="19" t="s">
        <v>167</v>
      </c>
      <c r="F51" s="19" t="s">
        <v>150</v>
      </c>
      <c r="G51" s="53" t="s">
        <v>187</v>
      </c>
      <c r="H51" s="20"/>
      <c r="I51" s="20"/>
      <c r="J51" s="20"/>
      <c r="K51" s="20"/>
    </row>
    <row r="52" spans="2:11">
      <c r="B52" s="21"/>
      <c r="C52" s="41">
        <v>5.1</v>
      </c>
      <c r="D52" s="44" t="s">
        <v>218</v>
      </c>
      <c r="E52" s="37"/>
      <c r="F52" s="37"/>
      <c r="G52" s="51">
        <f>'Imprest  Standby Stock '!F8</f>
        <v>124200</v>
      </c>
      <c r="H52" s="20"/>
      <c r="I52" s="20"/>
      <c r="J52" s="20"/>
      <c r="K52" s="20"/>
    </row>
    <row r="53" spans="2:11">
      <c r="B53" s="21"/>
      <c r="C53" s="41">
        <v>5.2</v>
      </c>
      <c r="D53" s="21" t="s">
        <v>219</v>
      </c>
      <c r="E53" s="37"/>
      <c r="F53" s="37"/>
      <c r="G53" s="51"/>
      <c r="H53" s="20"/>
      <c r="I53" s="20"/>
      <c r="J53" s="20"/>
      <c r="K53" s="20"/>
    </row>
    <row r="54" spans="2:11">
      <c r="B54" s="21"/>
      <c r="C54" s="41">
        <v>5.3</v>
      </c>
      <c r="D54" s="21" t="s">
        <v>220</v>
      </c>
      <c r="E54" s="37"/>
      <c r="F54" s="37"/>
      <c r="G54" s="51"/>
      <c r="H54" s="20"/>
      <c r="I54" s="20"/>
      <c r="J54" s="20"/>
      <c r="K54" s="20"/>
    </row>
    <row r="55" spans="2:11">
      <c r="B55" s="21"/>
      <c r="C55" s="22" t="s">
        <v>221</v>
      </c>
      <c r="D55" s="22"/>
      <c r="E55" s="37"/>
      <c r="F55" s="37"/>
      <c r="G55" s="53">
        <f>G52</f>
        <v>124200</v>
      </c>
      <c r="H55" s="20"/>
      <c r="I55" s="20"/>
      <c r="J55" s="20"/>
      <c r="K55" s="20"/>
    </row>
    <row r="56" spans="2:11">
      <c r="B56" s="21"/>
      <c r="C56" s="21"/>
      <c r="D56" s="21"/>
      <c r="E56" s="37"/>
      <c r="F56" s="37"/>
      <c r="G56" s="51"/>
      <c r="H56" s="20"/>
      <c r="I56" s="20"/>
      <c r="J56" s="20"/>
      <c r="K56" s="20"/>
    </row>
    <row r="57" spans="2:11">
      <c r="B57" s="23">
        <v>6</v>
      </c>
      <c r="C57" s="23" t="s">
        <v>222</v>
      </c>
      <c r="D57" s="23"/>
      <c r="E57" s="19" t="s">
        <v>167</v>
      </c>
      <c r="F57" s="19" t="s">
        <v>150</v>
      </c>
      <c r="G57" s="53" t="s">
        <v>187</v>
      </c>
      <c r="H57" s="20"/>
      <c r="I57" s="20"/>
      <c r="J57" s="20"/>
      <c r="K57" s="20"/>
    </row>
    <row r="58" spans="2:11">
      <c r="B58" s="21"/>
      <c r="C58" s="41">
        <v>6.1</v>
      </c>
      <c r="D58" s="21" t="s">
        <v>223</v>
      </c>
      <c r="E58" s="37"/>
      <c r="F58" s="37"/>
      <c r="G58" s="51">
        <f>'Imprest  Standby Stock '!F20</f>
        <v>0</v>
      </c>
      <c r="H58" s="20"/>
      <c r="I58" s="20"/>
      <c r="J58" s="20"/>
      <c r="K58" s="20"/>
    </row>
    <row r="59" spans="2:11">
      <c r="B59" s="21"/>
      <c r="C59" s="41">
        <v>6.2</v>
      </c>
      <c r="D59" s="21" t="s">
        <v>224</v>
      </c>
      <c r="E59" s="37"/>
      <c r="F59" s="37"/>
      <c r="G59" s="51"/>
      <c r="H59" s="20"/>
      <c r="I59" s="20"/>
      <c r="J59" s="20"/>
      <c r="K59" s="20"/>
    </row>
    <row r="60" spans="2:11">
      <c r="B60" s="21"/>
      <c r="C60" s="41">
        <v>6.3</v>
      </c>
      <c r="D60" s="21" t="s">
        <v>225</v>
      </c>
      <c r="E60" s="37"/>
      <c r="F60" s="37"/>
      <c r="G60" s="51"/>
      <c r="H60" s="20"/>
      <c r="I60" s="20"/>
      <c r="J60" s="20"/>
      <c r="K60" s="20"/>
    </row>
    <row r="61" spans="2:11">
      <c r="B61" s="21"/>
      <c r="C61" s="41">
        <v>6.4</v>
      </c>
      <c r="D61" s="21" t="s">
        <v>226</v>
      </c>
      <c r="E61" s="37"/>
      <c r="F61" s="37"/>
      <c r="G61" s="51"/>
      <c r="H61" s="20"/>
      <c r="I61" s="20"/>
      <c r="J61" s="20"/>
      <c r="K61" s="20"/>
    </row>
    <row r="62" spans="2:11">
      <c r="B62" s="21"/>
      <c r="C62" s="41">
        <v>6.5</v>
      </c>
      <c r="D62" s="21" t="s">
        <v>227</v>
      </c>
      <c r="E62" s="37"/>
      <c r="F62" s="37"/>
      <c r="G62" s="51"/>
      <c r="H62" s="20"/>
      <c r="I62" s="20"/>
      <c r="J62" s="20"/>
      <c r="K62" s="20"/>
    </row>
    <row r="63" spans="2:11">
      <c r="B63" s="21"/>
      <c r="C63" s="41">
        <v>6.6</v>
      </c>
      <c r="D63" s="21" t="s">
        <v>228</v>
      </c>
      <c r="E63" s="37"/>
      <c r="F63" s="37"/>
      <c r="G63" s="51"/>
      <c r="H63" s="20"/>
      <c r="I63" s="20"/>
      <c r="J63" s="20"/>
      <c r="K63" s="20"/>
    </row>
    <row r="64" spans="2:11">
      <c r="B64" s="21"/>
      <c r="C64" s="41">
        <v>6.7</v>
      </c>
      <c r="D64" s="21" t="s">
        <v>229</v>
      </c>
      <c r="E64" s="37"/>
      <c r="F64" s="37"/>
      <c r="G64" s="51"/>
      <c r="H64" s="20"/>
      <c r="I64" s="20"/>
      <c r="J64" s="20"/>
      <c r="K64" s="20"/>
    </row>
    <row r="65" spans="2:11">
      <c r="B65" s="21"/>
      <c r="C65" s="41">
        <v>6.8</v>
      </c>
      <c r="D65" s="21" t="s">
        <v>230</v>
      </c>
      <c r="E65" s="37"/>
      <c r="F65" s="37"/>
      <c r="G65" s="51"/>
      <c r="H65" s="20"/>
      <c r="I65" s="20"/>
      <c r="J65" s="20"/>
      <c r="K65" s="20"/>
    </row>
    <row r="66" spans="2:11">
      <c r="B66" s="21"/>
      <c r="C66" s="22" t="s">
        <v>231</v>
      </c>
      <c r="D66" s="22"/>
      <c r="E66" s="37"/>
      <c r="F66" s="37"/>
      <c r="G66" s="53">
        <f>SUM(G58:G65)</f>
        <v>0</v>
      </c>
      <c r="H66" s="20"/>
      <c r="I66" s="20"/>
      <c r="J66" s="20"/>
      <c r="K66" s="20"/>
    </row>
    <row r="67" spans="2:11">
      <c r="B67" s="21"/>
      <c r="C67" s="19" t="s">
        <v>232</v>
      </c>
      <c r="D67" s="19"/>
      <c r="E67" s="37"/>
      <c r="F67" s="37"/>
      <c r="G67" s="53"/>
      <c r="H67" s="20"/>
      <c r="I67" s="20"/>
      <c r="J67" s="20"/>
      <c r="K67" s="20"/>
    </row>
    <row r="68" spans="2:11">
      <c r="B68" s="21"/>
      <c r="C68" s="21"/>
      <c r="D68" s="21"/>
      <c r="E68" s="37"/>
      <c r="F68" s="37"/>
      <c r="G68" s="51"/>
      <c r="H68" s="20"/>
      <c r="I68" s="20"/>
      <c r="J68" s="20"/>
      <c r="K68" s="20"/>
    </row>
    <row r="69" spans="2:11">
      <c r="B69" s="59">
        <v>7</v>
      </c>
      <c r="C69" s="60" t="s">
        <v>233</v>
      </c>
      <c r="D69" s="60"/>
      <c r="E69" s="58"/>
      <c r="F69" s="58"/>
      <c r="G69" s="61">
        <f>G16+G29+G49+G55+G66+G67</f>
        <v>125200</v>
      </c>
      <c r="H69" s="20"/>
      <c r="I69" s="20"/>
      <c r="J69" s="20"/>
      <c r="K69" s="20"/>
    </row>
    <row r="70" spans="2:11">
      <c r="B70" s="45"/>
      <c r="C70" s="45"/>
      <c r="D70" s="45"/>
      <c r="E70" s="62"/>
      <c r="F70" s="62"/>
      <c r="G70" s="30"/>
      <c r="H70" s="20"/>
      <c r="I70" s="20"/>
      <c r="J70" s="20"/>
      <c r="K70" s="20"/>
    </row>
    <row r="71" spans="2:11">
      <c r="B71" s="63">
        <v>8</v>
      </c>
      <c r="C71" s="64" t="s">
        <v>234</v>
      </c>
      <c r="D71" s="64"/>
      <c r="E71" s="62"/>
      <c r="F71" s="62"/>
      <c r="G71" s="65">
        <f>G4-G69</f>
        <v>-125200</v>
      </c>
      <c r="H71" s="20"/>
      <c r="I71" s="66"/>
      <c r="J71" s="20"/>
      <c r="K71" s="20"/>
    </row>
    <row r="72" spans="2:11">
      <c r="B72" s="45"/>
      <c r="C72" s="45"/>
      <c r="D72" s="45"/>
      <c r="E72" s="62"/>
      <c r="F72" s="62"/>
      <c r="G72" s="30"/>
      <c r="H72" s="20"/>
      <c r="I72" s="20"/>
      <c r="J72" s="20"/>
      <c r="K72" s="42"/>
    </row>
    <row r="73" spans="2:11">
      <c r="B73" s="63">
        <v>9</v>
      </c>
      <c r="C73" s="64" t="s">
        <v>235</v>
      </c>
      <c r="D73" s="64"/>
      <c r="E73" s="62"/>
      <c r="F73" s="62"/>
      <c r="G73" s="67" t="e">
        <f>G71/G4%</f>
        <v>#DIV/0!</v>
      </c>
      <c r="H73" s="68"/>
      <c r="I73" s="20"/>
      <c r="J73" s="20"/>
      <c r="K73" s="42"/>
    </row>
    <row r="74" spans="2:11">
      <c r="B74" s="45"/>
      <c r="C74" s="45"/>
      <c r="D74" s="45"/>
      <c r="E74" s="62"/>
      <c r="F74" s="62"/>
      <c r="G74" s="30"/>
      <c r="H74" s="20"/>
      <c r="I74" s="20"/>
      <c r="J74" s="20"/>
      <c r="K74" s="42"/>
    </row>
  </sheetData>
  <mergeCells count="12">
    <mergeCell ref="B1:G1"/>
    <mergeCell ref="C2:D2"/>
    <mergeCell ref="C3:D3"/>
    <mergeCell ref="C6:D6"/>
    <mergeCell ref="C9:D9"/>
    <mergeCell ref="C49:D49"/>
    <mergeCell ref="C55:D55"/>
    <mergeCell ref="C66:D66"/>
    <mergeCell ref="C67:D67"/>
    <mergeCell ref="C69:D69"/>
    <mergeCell ref="C71:D71"/>
    <mergeCell ref="C73:D73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C3" sqref="C3"/>
    </sheetView>
  </sheetViews>
  <sheetFormatPr defaultColWidth="39" defaultRowHeight="15" outlineLevelRow="3" outlineLevelCol="5"/>
  <cols>
    <col min="1" max="1" width="6.26666666666667" style="4" customWidth="1"/>
    <col min="2" max="2" width="19.1809523809524" style="5" customWidth="1"/>
    <col min="3" max="3" width="31.4571428571429" customWidth="1"/>
    <col min="4" max="4" width="15" style="4" customWidth="1"/>
    <col min="5" max="5" width="15.8190476190476" style="5" customWidth="1"/>
    <col min="6" max="6" width="13.8190476190476" customWidth="1"/>
  </cols>
  <sheetData>
    <row r="1" spans="1:6">
      <c r="A1" s="6" t="s">
        <v>236</v>
      </c>
      <c r="B1" s="7" t="s">
        <v>237</v>
      </c>
      <c r="C1" s="6" t="s">
        <v>238</v>
      </c>
      <c r="D1" s="6" t="s">
        <v>150</v>
      </c>
      <c r="E1" s="7" t="s">
        <v>239</v>
      </c>
      <c r="F1" s="8" t="s">
        <v>240</v>
      </c>
    </row>
    <row r="2" s="3" customFormat="1" ht="27" customHeight="1" spans="1:6">
      <c r="A2" s="9">
        <v>1</v>
      </c>
      <c r="B2" s="10"/>
      <c r="C2" s="11"/>
      <c r="D2" s="11"/>
      <c r="E2" s="12"/>
      <c r="F2" s="13">
        <f>D2*E2*12</f>
        <v>0</v>
      </c>
    </row>
    <row r="3" spans="1:6">
      <c r="A3" s="14">
        <v>2</v>
      </c>
      <c r="B3" s="15"/>
      <c r="C3" s="11"/>
      <c r="D3" s="14"/>
      <c r="E3" s="15"/>
      <c r="F3" s="2"/>
    </row>
    <row r="4" spans="1:6">
      <c r="A4" s="14"/>
      <c r="B4" s="15"/>
      <c r="C4" s="2"/>
      <c r="D4" s="14"/>
      <c r="E4" s="15" t="s">
        <v>160</v>
      </c>
      <c r="F4" s="16">
        <f>SUM(F2:F3)</f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10" sqref="C10"/>
    </sheetView>
  </sheetViews>
  <sheetFormatPr defaultColWidth="9" defaultRowHeight="15" outlineLevelRow="5" outlineLevelCol="6"/>
  <cols>
    <col min="1" max="1" width="6" customWidth="1"/>
    <col min="2" max="2" width="23.8190476190476" customWidth="1"/>
    <col min="3" max="3" width="27.8190476190476" customWidth="1"/>
    <col min="4" max="4" width="14" customWidth="1"/>
    <col min="5" max="5" width="11.5428571428571" customWidth="1"/>
    <col min="6" max="6" width="26" customWidth="1"/>
    <col min="7" max="7" width="14" customWidth="1"/>
  </cols>
  <sheetData>
    <row r="1" ht="15.75" spans="1:7">
      <c r="A1" s="1" t="s">
        <v>22</v>
      </c>
      <c r="B1" s="1" t="s">
        <v>241</v>
      </c>
      <c r="C1" s="1" t="s">
        <v>242</v>
      </c>
      <c r="D1" s="1" t="s">
        <v>243</v>
      </c>
      <c r="E1" s="1" t="s">
        <v>6</v>
      </c>
      <c r="F1" s="1" t="s">
        <v>25</v>
      </c>
      <c r="G1" s="1" t="s">
        <v>244</v>
      </c>
    </row>
    <row r="2" spans="1:7">
      <c r="A2" s="2">
        <v>1</v>
      </c>
      <c r="B2" s="2"/>
      <c r="C2" s="2" t="s">
        <v>245</v>
      </c>
      <c r="D2" s="2"/>
      <c r="E2" s="2"/>
      <c r="F2" s="2"/>
      <c r="G2" s="2"/>
    </row>
    <row r="3" spans="1:7">
      <c r="A3" s="2">
        <v>2</v>
      </c>
      <c r="B3" s="2"/>
      <c r="C3" s="2" t="s">
        <v>246</v>
      </c>
      <c r="D3" s="2"/>
      <c r="E3" s="2"/>
      <c r="F3" s="2"/>
      <c r="G3" s="2"/>
    </row>
    <row r="4" spans="1:7">
      <c r="A4" s="2">
        <v>3</v>
      </c>
      <c r="B4" s="2"/>
      <c r="C4" s="2" t="s">
        <v>247</v>
      </c>
      <c r="D4" s="2"/>
      <c r="E4" s="2"/>
      <c r="F4" s="2"/>
      <c r="G4" s="2"/>
    </row>
    <row r="5" spans="1:7">
      <c r="A5" s="2">
        <v>4</v>
      </c>
      <c r="B5" s="2"/>
      <c r="C5" s="2" t="s">
        <v>248</v>
      </c>
      <c r="D5" s="2"/>
      <c r="E5" s="2"/>
      <c r="F5" s="2"/>
      <c r="G5" s="2"/>
    </row>
    <row r="6" spans="1:7">
      <c r="A6" s="2">
        <v>5</v>
      </c>
      <c r="B6" s="2"/>
      <c r="C6" s="2" t="s">
        <v>249</v>
      </c>
      <c r="D6" s="2"/>
      <c r="E6" s="2"/>
      <c r="F6" s="2"/>
      <c r="G6" s="2"/>
    </row>
  </sheetData>
  <dataValidations count="1">
    <dataValidation type="list" allowBlank="1" showInputMessage="1" showErrorMessage="1" sqref="E2:E6">
      <formula1>"Approved,Not approved"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3F58DD3-78D9-412F-B9BD-23B6B1E89B65}">
  <ds:schemaRefs/>
</ds:datastoreItem>
</file>

<file path=customXml/itemProps2.xml><?xml version="1.0" encoding="utf-8"?>
<ds:datastoreItem xmlns:ds="http://schemas.openxmlformats.org/officeDocument/2006/customXml" ds:itemID="{7A4BE9C9-8E69-4751-A4E3-4D325B54E3B8}">
  <ds:schemaRefs/>
</ds:datastoreItem>
</file>

<file path=customXml/itemProps3.xml><?xml version="1.0" encoding="utf-8"?>
<ds:datastoreItem xmlns:ds="http://schemas.openxmlformats.org/officeDocument/2006/customXml" ds:itemID="{8A1987D5-AE63-4C22-BDE2-14DD5577A3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Document Control</vt:lpstr>
      <vt:lpstr>Checklist</vt:lpstr>
      <vt:lpstr>Tender Checklist </vt:lpstr>
      <vt:lpstr>Bid Process Stages</vt:lpstr>
      <vt:lpstr>Asset Details </vt:lpstr>
      <vt:lpstr>Imprest  Standby Stock </vt:lpstr>
      <vt:lpstr>Costing</vt:lpstr>
      <vt:lpstr>Resource Cost </vt:lpstr>
      <vt:lpstr>Sign 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 Team</cp:lastModifiedBy>
  <dcterms:created xsi:type="dcterms:W3CDTF">2015-06-05T18:17:00Z</dcterms:created>
  <dcterms:modified xsi:type="dcterms:W3CDTF">2026-05-04T13:02:43Z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0x010100B81B5B736E02704F9550B9D855905782</vt:lpwstr>
  </property>
  <property fmtid="{D5CDD505-2E9C-101B-9397-08002B2CF9AE}" pid="3" name="ICV">
    <vt:lpwstr>F5772C14832945C19BFA028FB4BE1B4A_12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